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T320_Materialidade" sheetId="1" state="visible" r:id="rId3"/>
    <sheet name="PT500_Conciliacao" sheetId="2" state="visible" r:id="rId4"/>
    <sheet name="PT530_Amostragem" sheetId="3" state="visible" r:id="rId5"/>
    <sheet name="PT540_PCE" sheetId="4" state="visible" r:id="rId6"/>
    <sheet name="PT520_Analiticos" sheetId="5" state="visible" r:id="rId7"/>
    <sheet name="PT570_Continuidade" sheetId="6" state="visible" r:id="rId8"/>
    <sheet name="PT450_Distorcoes" sheetId="7" state="visible" r:id="rId9"/>
    <sheet name="Cobertura_Norma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<sst xmlns="http://schemas.openxmlformats.org/spreadsheetml/2006/main" count="352" uniqueCount="305">
  <si>
    <t xml:space="preserve">PT 320 - Materialidade (NBC TA 320) - ALLOS S.A. consolidado 31/12/2025</t>
  </si>
  <si>
    <t xml:space="preserve">Preparador: matrícula 231004987 | Data: 20/10/2026 | Revisão: ____________ (campo reservado; sem assinatura simulada) | Valores em R$ mil, salvo indicação</t>
  </si>
  <si>
    <t xml:space="preserve">Base de referência (DFP 2025, consolidado)</t>
  </si>
  <si>
    <t xml:space="preserve">Valor (R$ mil)</t>
  </si>
  <si>
    <t xml:space="preserve">% usado</t>
  </si>
  <si>
    <t xml:space="preserve">Resultado (R$ mil)</t>
  </si>
  <si>
    <t xml:space="preserve">Fonte / justificativa</t>
  </si>
  <si>
    <t xml:space="preserve">Lucro antes dos impostos e contribuições (LAIR)</t>
  </si>
  <si>
    <t xml:space="preserve">DFP 2025, DRE (PDF p.17; pág. 8 das DFs). Base ESCOLHIDA: medida de resultado estável, 5% (faixa usual 5%).</t>
  </si>
  <si>
    <t xml:space="preserve">Receita líquida de aluguel e serviços</t>
  </si>
  <si>
    <t xml:space="preserve">DFP 2025, DRE. Alternativa (1% da receita), apenas comparação.</t>
  </si>
  <si>
    <t xml:space="preserve">Total do ativo</t>
  </si>
  <si>
    <t xml:space="preserve">DFP 2025, balanço. Alternativa (0,5% do ativo), apenas comparação.</t>
  </si>
  <si>
    <t xml:space="preserve">Patrimônio líquido</t>
  </si>
  <si>
    <t xml:space="preserve">DFP 2025, balanço. Alternativa (1% do PL), apenas comparação.</t>
  </si>
  <si>
    <t xml:space="preserve">MATERIALIDADE GLOBAL (escolhida = LAIR x 5%)</t>
  </si>
  <si>
    <t xml:space="preserve">% da materialidade para execução (ME)</t>
  </si>
  <si>
    <t xml:space="preserve">75%: risco inerente alto (estimativas de valor recuperável) e ambiente sem histórico de auditoria no trabalho (didático).</t>
  </si>
  <si>
    <t xml:space="preserve">Limite de distorções claramente triviais (5% da global)</t>
  </si>
  <si>
    <t xml:space="preserve">Materialidade específica 1 - Remuneração da administração/partes relacionadas (se aplicável)</t>
  </si>
  <si>
    <t xml:space="preserve">PLANEJADO: depende de dado interno; usar 10% do saldo/ transação da nota 23 (saldos de partes relacionadas R$ 55.865 ativo / 7.361 passivo).</t>
  </si>
  <si>
    <t xml:space="preserve">Materialidade específica 2 - Propriedades para investimento (saldo mais relevante)</t>
  </si>
  <si>
    <t xml:space="preserve">0,25% do saldo; exibida para confronto com a ME (resulta em valor maior que a global: NÃO adotada; prevalece a global).</t>
  </si>
  <si>
    <t xml:space="preserve">Revisão da materialidade no curso do trabalho</t>
  </si>
  <si>
    <t xml:space="preserve">Sem informação nova que a altere. Se distorções quantificadas &gt; global (ver PT450), reavaliar ME e ampliar testes.</t>
  </si>
  <si>
    <t xml:space="preserve">Em R$ (unidade da base simulada)</t>
  </si>
  <si>
    <t xml:space="preserve">B = global | C = execução | D = trivial</t>
  </si>
  <si>
    <t xml:space="preserve">PT 500 - Conciliação da base simulada com o saldo contábil (nota 11) - DADOS SINTÉTICOS x DFP REAL</t>
  </si>
  <si>
    <t xml:space="preserve">Item</t>
  </si>
  <si>
    <t xml:space="preserve">R$</t>
  </si>
  <si>
    <t xml:space="preserve">Observação</t>
  </si>
  <si>
    <t xml:space="preserve">Custo (nota 11, consolidado, R$ mil)</t>
  </si>
  <si>
    <t xml:space="preserve">REAL - DFP 2025, PDF p.66</t>
  </si>
  <si>
    <t xml:space="preserve">(-) Depreciação acumulada (R$ mil)</t>
  </si>
  <si>
    <t xml:space="preserve">REAL</t>
  </si>
  <si>
    <t xml:space="preserve">(+) Mais-valia líquida (R$ mil)</t>
  </si>
  <si>
    <t xml:space="preserve">Saldo contábil - Propriedades para investimento (R$ mil)</t>
  </si>
  <si>
    <t xml:space="preserve">Saldo no balanço consolidado 31/12/2025 (R$ mil)</t>
  </si>
  <si>
    <t xml:space="preserve">REAL - balanço, PDF p.15 (pág.6 das DFs)</t>
  </si>
  <si>
    <t xml:space="preserve">Diferença nota 11 x balanço (deve ser zero)</t>
  </si>
  <si>
    <t xml:space="preserve">Base SIMULADA - soma do valor contábil líquido (R$)</t>
  </si>
  <si>
    <t xml:space="preserve">SINTÉTICO - script 02 (520.150 linhas)</t>
  </si>
  <si>
    <t xml:space="preserve">Saldo DFP em R$</t>
  </si>
  <si>
    <t xml:space="preserve">Diferença base x saldo DFP (R$)</t>
  </si>
  <si>
    <t xml:space="preserve">Explicação da diferença: erros inseridos (efeito no total da base)</t>
  </si>
  <si>
    <t xml:space="preserve">Registro: dados/registro_erros_inseridos.csv</t>
  </si>
  <si>
    <t xml:space="preserve">DUPLICIDADE</t>
  </si>
  <si>
    <t xml:space="preserve">150 registros</t>
  </si>
  <si>
    <t xml:space="preserve">CORTE (ATIVACAO EM 2026)</t>
  </si>
  <si>
    <t xml:space="preserve">120 registros</t>
  </si>
  <si>
    <t xml:space="preserve">DEPRECIACAO INCORRETA</t>
  </si>
  <si>
    <t xml:space="preserve">200 registros</t>
  </si>
  <si>
    <t xml:space="preserve">BAIXADO COM SALDO</t>
  </si>
  <si>
    <t xml:space="preserve">80 registros</t>
  </si>
  <si>
    <t xml:space="preserve">VCL NEGATIVO</t>
  </si>
  <si>
    <t xml:space="preserve">60 registros</t>
  </si>
  <si>
    <t xml:space="preserve">TERRENO DEPRECIADO</t>
  </si>
  <si>
    <t xml:space="preserve">40 registros</t>
  </si>
  <si>
    <t xml:space="preserve">SEM DOCUMENTO SUPORTE</t>
  </si>
  <si>
    <t xml:space="preserve">300 registros</t>
  </si>
  <si>
    <t xml:space="preserve">LANCAMENTO MANUAL ATIPICO</t>
  </si>
  <si>
    <t xml:space="preserve">90 registros</t>
  </si>
  <si>
    <t xml:space="preserve">Soma dos efeitos dos erros inseridos</t>
  </si>
  <si>
    <t xml:space="preserve">RESÍDUO NÃO EXPLICADO (arredondamento de centavos)</t>
  </si>
  <si>
    <t xml:space="preserve">Base limpa (antes dos erros) = saldo DFP exato; resíduo decorre de arredondamento em ponto flutuante ao gravar centavos.</t>
  </si>
  <si>
    <t xml:space="preserve">Roll-forward REAL do saldo (nota 11, R$ mil)</t>
  </si>
  <si>
    <t xml:space="preserve">R$ mil</t>
  </si>
  <si>
    <t xml:space="preserve">Fonte</t>
  </si>
  <si>
    <t xml:space="preserve">Saldo em 31/12/2024</t>
  </si>
  <si>
    <t xml:space="preserve">DFP 2025 nota 11 (PDF p.65)</t>
  </si>
  <si>
    <t xml:space="preserve">Adições: instalações e edificações (líq. depreciação)</t>
  </si>
  <si>
    <t xml:space="preserve">nota 11</t>
  </si>
  <si>
    <t xml:space="preserve">Adições: direito de uso</t>
  </si>
  <si>
    <t xml:space="preserve">Aquisição do Shopping Brasília</t>
  </si>
  <si>
    <t xml:space="preserve">Outros</t>
  </si>
  <si>
    <t xml:space="preserve">Baixa: 9,9% Plaza Sul</t>
  </si>
  <si>
    <t xml:space="preserve">Baixa: 45% Rio Anil</t>
  </si>
  <si>
    <t xml:space="preserve">Baixa: 10% Tijuca</t>
  </si>
  <si>
    <t xml:space="preserve">Baixa: 20% Carioca</t>
  </si>
  <si>
    <t xml:space="preserve">Saldo recalculado em 31/12/2025</t>
  </si>
  <si>
    <t xml:space="preserve">Diferença para o balanço (deve ser zero)</t>
  </si>
  <si>
    <t xml:space="preserve">PT 530 - Amostragem MUS sobre a BASE SIMULADA (propriedades para investimento)</t>
  </si>
  <si>
    <t xml:space="preserve">Parâmetro</t>
  </si>
  <si>
    <t xml:space="preserve">Valor</t>
  </si>
  <si>
    <t xml:space="preserve">Nota</t>
  </si>
  <si>
    <t xml:space="preserve">Erro tolerável (= materialidade de execução, R$)</t>
  </si>
  <si>
    <t xml:space="preserve">Fator de confiança RF (95%, erro esperado zero - Poisson)</t>
  </si>
  <si>
    <t xml:space="preserve">População sujeita a MUS (R$, sem itens-chave nem negativos)</t>
  </si>
  <si>
    <t xml:space="preserve">SINTÉTICO</t>
  </si>
  <si>
    <t xml:space="preserve">Intervalo amostral (R$) = erro tolerável / RF</t>
  </si>
  <si>
    <t xml:space="preserve">Tamanho da amostra calculado = população / intervalo</t>
  </si>
  <si>
    <t xml:space="preserve">Itens efetivamente selecionados (seleção sistemática, início aleatório, semente = matrícula)</t>
  </si>
  <si>
    <t xml:space="preserve">Menor que o calculado: itens maiores que o intervalo são atingidos mais de uma vez e contados uma só.</t>
  </si>
  <si>
    <t xml:space="preserve">Itens-chave testados a 100% (valor &gt;= erro tolerável)</t>
  </si>
  <si>
    <t xml:space="preserve">Itens com saldo negativo testados a 100%</t>
  </si>
  <si>
    <t xml:space="preserve">Itens da amostra com exceção</t>
  </si>
  <si>
    <t xml:space="preserve">Itens da amostra com distorção monetária quantificada</t>
  </si>
  <si>
    <t xml:space="preserve">Distorção encontrada na amostra (R$)</t>
  </si>
  <si>
    <t xml:space="preserve">Precisão básica (R$) = RF x intervalo</t>
  </si>
  <si>
    <t xml:space="preserve">Distorção projetada (R$) = soma(taint) x intervalo</t>
  </si>
  <si>
    <t xml:space="preserve">Limite superior de distorção - Stringer/Poisson (R$)</t>
  </si>
  <si>
    <t xml:space="preserve">Conclusão estatística</t>
  </si>
  <si>
    <t xml:space="preserve">Resultado SIMULADO. Em trabalho real: ampliar amostra, solicitar correção e reavaliar risco.</t>
  </si>
  <si>
    <t xml:space="preserve">Incrementos Poisson 95% (1º ao 10º erro ordenado por taint)</t>
  </si>
  <si>
    <t xml:space="preserve">Detalhe da amostra e das exceções: dados/resultados/amostra_mus_selecionada.csv</t>
  </si>
  <si>
    <t xml:space="preserve">PT 540 - Estimativa: provisão para perdas de crédito esperadas (nota 8) - recálculo e sensibilidade</t>
  </si>
  <si>
    <t xml:space="preserve">Faixa (aluguéis + CDU + cotas condominiais)</t>
  </si>
  <si>
    <t xml:space="preserve">A vencer</t>
  </si>
  <si>
    <t xml:space="preserve">&lt;=90 dias</t>
  </si>
  <si>
    <t xml:space="preserve">91-180</t>
  </si>
  <si>
    <t xml:space="preserve">181-360</t>
  </si>
  <si>
    <t xml:space="preserve">&gt;360</t>
  </si>
  <si>
    <t xml:space="preserve">Total</t>
  </si>
  <si>
    <t xml:space="preserve">Aluguéis</t>
  </si>
  <si>
    <t xml:space="preserve">Taxa de cessão de direito de uso</t>
  </si>
  <si>
    <t xml:space="preserve">Cotas condominiais</t>
  </si>
  <si>
    <t xml:space="preserve">Total por faixa</t>
  </si>
  <si>
    <t xml:space="preserve">% de provisão (matriz da nota 8, 31/12/2025)</t>
  </si>
  <si>
    <t xml:space="preserve">PCE esperada por faixa (recálculo)</t>
  </si>
  <si>
    <t xml:space="preserve">PCE total registrada (balanço/nota 8)</t>
  </si>
  <si>
    <t xml:space="preserve">PCE de prestação de serviços e outros (análise individual) - saldo bruto serviços+outros</t>
  </si>
  <si>
    <t xml:space="preserve">Diferença: registrada - recalculada pela matriz</t>
  </si>
  <si>
    <t xml:space="preserve">Diferença / saldo bruto de serviços e outros</t>
  </si>
  <si>
    <t xml:space="preserve">A diferença deve ser explicada pela análise individual (PLANEJADO: exige acesso à análise interna).</t>
  </si>
  <si>
    <t xml:space="preserve">Diferença vs materialidade de execução</t>
  </si>
  <si>
    <t xml:space="preserve">Sensibilidade (pontos percentuais nas faixas vencidas)</t>
  </si>
  <si>
    <t xml:space="preserve">-10 p.p.</t>
  </si>
  <si>
    <t xml:space="preserve">-5 p.p.</t>
  </si>
  <si>
    <t xml:space="preserve">Base</t>
  </si>
  <si>
    <t xml:space="preserve">+5 p.p.</t>
  </si>
  <si>
    <t xml:space="preserve">+10 p.p.</t>
  </si>
  <si>
    <t xml:space="preserve">PCE recalculada (R$ mil)</t>
  </si>
  <si>
    <t xml:space="preserve">Variação vs base (R$ mil)</t>
  </si>
  <si>
    <t xml:space="preserve">Variação vs materialidade de execução (x)</t>
  </si>
  <si>
    <t xml:space="preserve">PT 520 - Procedimentos analíticos (DFP 2025 x 2024, consolidado) - REALIZADO COM EVIDÊNCIA PÚBLICA</t>
  </si>
  <si>
    <t xml:space="preserve">Premissa didática de reajuste (inflação contratual proxy):</t>
  </si>
  <si>
    <t xml:space="preserve">SUBSTITUIR pelo IPCA/IGP-M oficial do período; 4% é premissa do aluno, não dado público.</t>
  </si>
  <si>
    <t xml:space="preserve">Conta (R$ mil)</t>
  </si>
  <si>
    <t xml:space="preserve">2025</t>
  </si>
  <si>
    <t xml:space="preserve">2024</t>
  </si>
  <si>
    <t xml:space="preserve">Var. R$</t>
  </si>
  <si>
    <t xml:space="preserve">Var. %</t>
  </si>
  <si>
    <t xml:space="preserve">Expectativa 2025</t>
  </si>
  <si>
    <t xml:space="preserve">Dif. real x esperada</t>
  </si>
  <si>
    <t xml:space="preserve">Investigar?</t>
  </si>
  <si>
    <t xml:space="preserve">Fonte / premissa</t>
  </si>
  <si>
    <t xml:space="preserve">Receitas de aluguéis</t>
  </si>
  <si>
    <t xml:space="preserve">nota 18</t>
  </si>
  <si>
    <t xml:space="preserve">Estacionamento</t>
  </si>
  <si>
    <t xml:space="preserve">Receita de serviços</t>
  </si>
  <si>
    <t xml:space="preserve">Receita líquida total</t>
  </si>
  <si>
    <t xml:space="preserve">DRE</t>
  </si>
  <si>
    <t xml:space="preserve">Custo de aluguéis e serviços</t>
  </si>
  <si>
    <t xml:space="preserve">DRE/nota 19</t>
  </si>
  <si>
    <t xml:space="preserve">Depreciação e amortização de propriedades (custo)</t>
  </si>
  <si>
    <t xml:space="preserve">nota 19</t>
  </si>
  <si>
    <t xml:space="preserve">Despesas com vendas, gerais e administrativas</t>
  </si>
  <si>
    <t xml:space="preserve">nota 20</t>
  </si>
  <si>
    <t xml:space="preserve">Resultado financeiro líquido</t>
  </si>
  <si>
    <t xml:space="preserve">DRE/nota 21</t>
  </si>
  <si>
    <t xml:space="preserve">Lucro antes dos impostos (LAIR)</t>
  </si>
  <si>
    <t xml:space="preserve">Contas a receber líquido (circ.+não circ.)</t>
  </si>
  <si>
    <t xml:space="preserve">nota 8</t>
  </si>
  <si>
    <t xml:space="preserve">Provisão p/ perdas de crédito esperadas</t>
  </si>
  <si>
    <t xml:space="preserve">Propriedades para investimento</t>
  </si>
  <si>
    <t xml:space="preserve">balanço/nota 11</t>
  </si>
  <si>
    <t xml:space="preserve">Aplicações financeiras (circ.+não circ.)</t>
  </si>
  <si>
    <t xml:space="preserve">nota 7</t>
  </si>
  <si>
    <t xml:space="preserve">Empréstimos, financiamentos e debêntures</t>
  </si>
  <si>
    <t xml:space="preserve">nota 13/5</t>
  </si>
  <si>
    <t xml:space="preserve">Obrigações por compra e venda de ativos</t>
  </si>
  <si>
    <t xml:space="preserve">nota 15.1</t>
  </si>
  <si>
    <t xml:space="preserve">Provisão para contingências</t>
  </si>
  <si>
    <t xml:space="preserve">nota 14</t>
  </si>
  <si>
    <t xml:space="preserve">Depósitos judiciais</t>
  </si>
  <si>
    <t xml:space="preserve">balanço</t>
  </si>
  <si>
    <t xml:space="preserve">Dividendos a pagar</t>
  </si>
  <si>
    <t xml:space="preserve">Limite de investigação = materialidade de execução (R$ mil)</t>
  </si>
  <si>
    <t xml:space="preserve">Obs.: onde não há expectativa independente (linhas sem coluna F), o teste é de variação absoluta contra o limite; 'SIM' exige explicação documentada (PT 520).</t>
  </si>
  <si>
    <t xml:space="preserve">PT 570 - Continuidade operacional: liquidez e endividamento (DFP 2025, consolidado) - REAL</t>
  </si>
  <si>
    <t xml:space="preserve">Indicador (R$ mil)</t>
  </si>
  <si>
    <t xml:space="preserve">31/12/2025</t>
  </si>
  <si>
    <t xml:space="preserve">31/12/2024</t>
  </si>
  <si>
    <t xml:space="preserve">Ativo circulante</t>
  </si>
  <si>
    <t xml:space="preserve">Passivo circulante</t>
  </si>
  <si>
    <t xml:space="preserve">Caixa e equivalentes</t>
  </si>
  <si>
    <t xml:space="preserve">Aplicações financeiras (total)</t>
  </si>
  <si>
    <t xml:space="preserve">Empréstimos, financiamentos e debêntures (total)</t>
  </si>
  <si>
    <t xml:space="preserve">nota 5/13</t>
  </si>
  <si>
    <t xml:space="preserve">Obrigações compra e venda de ativos</t>
  </si>
  <si>
    <t xml:space="preserve">nota 5</t>
  </si>
  <si>
    <t xml:space="preserve">Derivativos (passivo)</t>
  </si>
  <si>
    <t xml:space="preserve">Liquidez corrente</t>
  </si>
  <si>
    <t xml:space="preserve">Dívida líquida (empréstimos + obrigações - caixa - aplicações + derivativos)</t>
  </si>
  <si>
    <t xml:space="preserve">Nota 5 divulga 3.432.780 (2025) e 3.671.487 (2024)</t>
  </si>
  <si>
    <t xml:space="preserve">Dívida líquida / PL</t>
  </si>
  <si>
    <t xml:space="preserve">Diferença para a dívida líquida da nota 5 (2025)</t>
  </si>
  <si>
    <t xml:space="preserve">EBITDA gerencial 2025 (R$ mil) - fonte secundária; usar o oficial</t>
  </si>
  <si>
    <t xml:space="preserve">Fato Relevante 10/03/2026 (via acionista.com.br)</t>
  </si>
  <si>
    <t xml:space="preserve">Dívida líquida / EBITDA (covenant da nota 13: &lt;= 3,5x, base gerencial ajustada)</t>
  </si>
  <si>
    <t xml:space="preserve">Aproximação: o covenant usa EBITDA Ajustado Consolidado Gerencial; cálculo contratual = PLANEJADO (exige dados internos).</t>
  </si>
  <si>
    <t xml:space="preserve">Folga vs limite 3,5x</t>
  </si>
  <si>
    <t xml:space="preserve">PT 450 - Mapa de distorções (SIMULADAS na base sintética; nenhuma é achado sobre a Allos real)</t>
  </si>
  <si>
    <t xml:space="preserve">Tipo (registro de erros inseridos)</t>
  </si>
  <si>
    <t xml:space="preserve">Qtd</t>
  </si>
  <si>
    <t xml:space="preserve">Distorção potencial (R$)</t>
  </si>
  <si>
    <t xml:space="preserve">Efeito no saldo da base (R$)</t>
  </si>
  <si>
    <t xml:space="preserve">Corrigida?</t>
  </si>
  <si>
    <t xml:space="preserve">Natureza</t>
  </si>
  <si>
    <t xml:space="preserve">Não (simulação: pendente de ajuste)</t>
  </si>
  <si>
    <t xml:space="preserve">Quantitativa - existência</t>
  </si>
  <si>
    <t xml:space="preserve">Quantitativa - corte</t>
  </si>
  <si>
    <t xml:space="preserve">Quantitativa - mensuração</t>
  </si>
  <si>
    <t xml:space="preserve">Quantitativa - existência/direitos</t>
  </si>
  <si>
    <t xml:space="preserve">Quantitativa - classificação</t>
  </si>
  <si>
    <t xml:space="preserve">Controle (potencial)</t>
  </si>
  <si>
    <t xml:space="preserve">Qualitativa - burla de controles/fraude (NBC TA 240)</t>
  </si>
  <si>
    <t xml:space="preserve">TOTAL</t>
  </si>
  <si>
    <t xml:space="preserve">Distorções monetárias quantificadas (exclui 'sem documento' e 'manual atípico')</t>
  </si>
  <si>
    <t xml:space="preserve">Materialidade global (R$)</t>
  </si>
  <si>
    <t xml:space="preserve">Quantificada / materialidade global</t>
  </si>
  <si>
    <t xml:space="preserve">Conclusão SIMULADA</t>
  </si>
  <si>
    <t xml:space="preserve">Matriz de cobertura: norma x papel de trabalho (versões em versoes_normas.py e no PDF)</t>
  </si>
  <si>
    <t xml:space="preserve">Norma (versão consultada, CFC, 20/10/2026)</t>
  </si>
  <si>
    <t xml:space="preserve">Papel de trabalho</t>
  </si>
  <si>
    <t xml:space="preserve">Natureza da execução predominante</t>
  </si>
  <si>
    <t xml:space="preserve">NBC TA Estrutura Conceitual - Estrutura Conceitual para Trabalhos de Asseguração (DOU 25/11/15)</t>
  </si>
  <si>
    <t xml:space="preserve">PT EC</t>
  </si>
  <si>
    <t xml:space="preserve">Realizado (documental)</t>
  </si>
  <si>
    <t xml:space="preserve">NBC TA 200 (R1) (DOU 05/09/16)</t>
  </si>
  <si>
    <t xml:space="preserve">PT 200</t>
  </si>
  <si>
    <t xml:space="preserve">Realizado + planejado</t>
  </si>
  <si>
    <t xml:space="preserve">NBC TA 210 (R1) (DOU 05/09/16)</t>
  </si>
  <si>
    <t xml:space="preserve">PT 210</t>
  </si>
  <si>
    <t xml:space="preserve">Realizado (carta didática)</t>
  </si>
  <si>
    <t xml:space="preserve">NBC TA 220 (R3) (DOU 09/12/21)</t>
  </si>
  <si>
    <t xml:space="preserve">PT 220</t>
  </si>
  <si>
    <t xml:space="preserve">Planejado</t>
  </si>
  <si>
    <t xml:space="preserve">NBC TA 230 (R1) (DOU 05/09/16)</t>
  </si>
  <si>
    <t xml:space="preserve">PT 230</t>
  </si>
  <si>
    <t xml:space="preserve">Realizado (estrutura do dossiê)</t>
  </si>
  <si>
    <t xml:space="preserve">NBC TA 240 (R1) (DOU 05/09/16)</t>
  </si>
  <si>
    <t xml:space="preserve">PT 240</t>
  </si>
  <si>
    <t xml:space="preserve">Realizado + simulado (testes de lançamentos)</t>
  </si>
  <si>
    <t xml:space="preserve">NBC TA 250 (DOU 14/02/19)</t>
  </si>
  <si>
    <t xml:space="preserve">PT 250</t>
  </si>
  <si>
    <t xml:space="preserve">Realizado (mapeamento) + planejado</t>
  </si>
  <si>
    <t xml:space="preserve">NBC TA 260 (R2) (DOU 04/07/16)</t>
  </si>
  <si>
    <t xml:space="preserve">PT 260</t>
  </si>
  <si>
    <t xml:space="preserve">Planejado (minuta)</t>
  </si>
  <si>
    <t xml:space="preserve">NBC TA 265 (Res. CFC 1.210/09)</t>
  </si>
  <si>
    <t xml:space="preserve">PT 265</t>
  </si>
  <si>
    <t xml:space="preserve">Hipóteses x constatações simuladas</t>
  </si>
  <si>
    <t xml:space="preserve">NBC TA 300 (R1) (DOU 05/09/16)</t>
  </si>
  <si>
    <t xml:space="preserve">PT 300</t>
  </si>
  <si>
    <t xml:space="preserve">Realizado (plano) + cronograma</t>
  </si>
  <si>
    <t xml:space="preserve">NBC TA 315 (R2) (DOU 02/09/21)</t>
  </si>
  <si>
    <t xml:space="preserve">PT 315</t>
  </si>
  <si>
    <t xml:space="preserve">Realizado com evidência pública</t>
  </si>
  <si>
    <t xml:space="preserve">NBC TA 320 (R1) (DOU 05/09/16)</t>
  </si>
  <si>
    <t xml:space="preserve">PT 320</t>
  </si>
  <si>
    <t xml:space="preserve">Realizado (cálculo)</t>
  </si>
  <si>
    <t xml:space="preserve">NBC TA 330 (R1) (DOU 05/09/16)</t>
  </si>
  <si>
    <t xml:space="preserve">PT 330</t>
  </si>
  <si>
    <t xml:space="preserve">Planejado + simulado</t>
  </si>
  <si>
    <t xml:space="preserve">NBC TA 402 (Res. CFC 1.215/09)</t>
  </si>
  <si>
    <t xml:space="preserve">PT 402</t>
  </si>
  <si>
    <t xml:space="preserve">NBC TA 450 (R1) (DOU 05/09/16)</t>
  </si>
  <si>
    <t xml:space="preserve">PT 450</t>
  </si>
  <si>
    <t xml:space="preserve">Simulado</t>
  </si>
  <si>
    <t xml:space="preserve">NBC TA 500 (R1) (DOU 05/09/16)</t>
  </si>
  <si>
    <t xml:space="preserve">PT 500</t>
  </si>
  <si>
    <t xml:space="preserve">Realizado + simulado</t>
  </si>
  <si>
    <t xml:space="preserve">NBC TA 501 (Res. CFC 1.218/09)</t>
  </si>
  <si>
    <t xml:space="preserve">PT 501</t>
  </si>
  <si>
    <t xml:space="preserve">Realizado (litígios/segmentos) + análise (estoques)</t>
  </si>
  <si>
    <t xml:space="preserve">NBC TA 505 (Res. CFC 1.219/09)</t>
  </si>
  <si>
    <t xml:space="preserve">PT 505</t>
  </si>
  <si>
    <t xml:space="preserve">Planejado (modelos; nenhuma solicitação enviada)</t>
  </si>
  <si>
    <t xml:space="preserve">NBC TA 510 (R1) (DOU 05/09/16)</t>
  </si>
  <si>
    <t xml:space="preserve">PT 510</t>
  </si>
  <si>
    <t xml:space="preserve">Realizado parcial + planejado</t>
  </si>
  <si>
    <t xml:space="preserve">NBC TA 520 (Res. CFC 1.221/09)</t>
  </si>
  <si>
    <t xml:space="preserve">PT 520</t>
  </si>
  <si>
    <t xml:space="preserve">Realizado (DFP) + simulado</t>
  </si>
  <si>
    <t xml:space="preserve">NBC TA 530 (Res. CFC 1.222/09)</t>
  </si>
  <si>
    <t xml:space="preserve">PT 530</t>
  </si>
  <si>
    <t xml:space="preserve">Simulado (base sintética)</t>
  </si>
  <si>
    <t xml:space="preserve">NBC TA 540 (R2) (DOU 23/10/19)</t>
  </si>
  <si>
    <t xml:space="preserve">PT 540</t>
  </si>
  <si>
    <t xml:space="preserve">Realizado (recálculo) + simulado (sensibilidade)</t>
  </si>
  <si>
    <t xml:space="preserve">NBC TA 550 (Res. CFC 1.224/09)</t>
  </si>
  <si>
    <t xml:space="preserve">PT 550</t>
  </si>
  <si>
    <t xml:space="preserve">Realizado (nota 23) + planejado</t>
  </si>
  <si>
    <t xml:space="preserve">NBC TA 560 (R1) (DOU 05/09/16)</t>
  </si>
  <si>
    <t xml:space="preserve">PT 560</t>
  </si>
  <si>
    <t xml:space="preserve">NBC TA 570 (versão anterior à R1) (R1: DOU 25/09/26)</t>
  </si>
  <si>
    <t xml:space="preserve">PT 570</t>
  </si>
  <si>
    <t xml:space="preserve">Realizado (indicadores públicos)</t>
  </si>
  <si>
    <t xml:space="preserve">NBC TA 580 (R1) (DOU 05/09/16)</t>
  </si>
  <si>
    <t xml:space="preserve">PT 580</t>
  </si>
  <si>
    <t xml:space="preserve">Minuta didática</t>
  </si>
  <si>
    <t xml:space="preserve">NBC TA 600 (R2) (DOU 06/12/23)</t>
  </si>
  <si>
    <t xml:space="preserve">PT 600</t>
  </si>
  <si>
    <t xml:space="preserve">Realizado (mapa) + planejado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</si>
</sst>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%"/>
    <numFmt numFmtId="167" formatCode="0.00%"/>
    <numFmt numFmtId="168" formatCode="#,##0.00;\(#,##0.00\);\-"/>
    <numFmt numFmtId="169" formatCode="0.00"/>
    <numFmt numFmtId="170" formatCode="#,##0"/>
    <numFmt numFmtId="171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60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26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s">
        <v>7</v>
      </c>
      <c r="B5" s="6" t="n">
        <v>1017601</v>
      </c>
      <c r="C5" s="7" t="n">
        <v>0.05</v>
      </c>
      <c r="D5" s="8" t="n">
        <f aca="false">B5*C5</f>
        <v>50880.05</v>
      </c>
      <c r="E5" s="5" t="s">
        <v>8</v>
      </c>
    </row>
    <row r="6" customFormat="false" ht="15" hidden="false" customHeight="false" outlineLevel="0" collapsed="false">
      <c r="A6" s="5" t="s">
        <v>9</v>
      </c>
      <c r="B6" s="6" t="n">
        <v>2859106</v>
      </c>
      <c r="C6" s="7" t="n">
        <v>0.01</v>
      </c>
      <c r="D6" s="8" t="n">
        <f aca="false">B6*C6</f>
        <v>28591.06</v>
      </c>
      <c r="E6" s="5" t="s">
        <v>10</v>
      </c>
    </row>
    <row r="7" customFormat="false" ht="15" hidden="false" customHeight="false" outlineLevel="0" collapsed="false">
      <c r="A7" s="5" t="s">
        <v>11</v>
      </c>
      <c r="B7" s="6" t="n">
        <v>26006439</v>
      </c>
      <c r="C7" s="7" t="n">
        <v>0.005</v>
      </c>
      <c r="D7" s="8" t="n">
        <f aca="false">B7*C7</f>
        <v>130032.195</v>
      </c>
      <c r="E7" s="5" t="s">
        <v>12</v>
      </c>
    </row>
    <row r="8" customFormat="false" ht="15" hidden="false" customHeight="false" outlineLevel="0" collapsed="false">
      <c r="A8" s="5" t="s">
        <v>13</v>
      </c>
      <c r="B8" s="6" t="n">
        <v>13899006</v>
      </c>
      <c r="C8" s="7" t="n">
        <v>0.01</v>
      </c>
      <c r="D8" s="8" t="n">
        <f aca="false">B8*C8</f>
        <v>138990.06</v>
      </c>
      <c r="E8" s="5" t="s">
        <v>14</v>
      </c>
    </row>
    <row r="10" customFormat="false" ht="15" hidden="false" customHeight="false" outlineLevel="0" collapsed="false">
      <c r="A10" s="9" t="s">
        <v>15</v>
      </c>
      <c r="D10" s="10" t="n">
        <f aca="false">D5</f>
        <v>50880.05</v>
      </c>
    </row>
    <row r="11" customFormat="false" ht="15" hidden="false" customHeight="false" outlineLevel="0" collapsed="false">
      <c r="A11" s="5" t="s">
        <v>16</v>
      </c>
      <c r="C11" s="7" t="n">
        <v>0.75</v>
      </c>
      <c r="D11" s="8" t="n">
        <f aca="false">D10*C11</f>
        <v>38160.0375</v>
      </c>
      <c r="E11" s="5" t="s">
        <v>17</v>
      </c>
    </row>
    <row r="12" customFormat="false" ht="15" hidden="false" customHeight="false" outlineLevel="0" collapsed="false">
      <c r="A12" s="5" t="s">
        <v>18</v>
      </c>
      <c r="C12" s="7" t="n">
        <v>0.05</v>
      </c>
      <c r="D12" s="8" t="n">
        <f aca="false">D10*C12</f>
        <v>2544.0025</v>
      </c>
    </row>
    <row r="14" customFormat="false" ht="15" hidden="false" customHeight="false" outlineLevel="0" collapsed="false">
      <c r="A14" s="5" t="s">
        <v>19</v>
      </c>
      <c r="E14" s="5" t="s">
        <v>20</v>
      </c>
    </row>
    <row r="15" customFormat="false" ht="15" hidden="false" customHeight="false" outlineLevel="0" collapsed="false">
      <c r="A15" s="5" t="s">
        <v>21</v>
      </c>
      <c r="B15" s="6" t="n">
        <v>20381666</v>
      </c>
      <c r="C15" s="11" t="n">
        <v>0.0025</v>
      </c>
      <c r="D15" s="8" t="n">
        <f aca="false">B15*C15</f>
        <v>50954.165</v>
      </c>
      <c r="E15" s="5" t="s">
        <v>22</v>
      </c>
    </row>
    <row r="17" customFormat="false" ht="15" hidden="false" customHeight="false" outlineLevel="0" collapsed="false">
      <c r="A17" s="5" t="s">
        <v>23</v>
      </c>
      <c r="E17" s="5" t="s">
        <v>24</v>
      </c>
    </row>
    <row r="19" customFormat="false" ht="15" hidden="false" customHeight="false" outlineLevel="0" collapsed="false">
      <c r="A19" s="5" t="s">
        <v>25</v>
      </c>
      <c r="B19" s="12" t="n">
        <f aca="false">D10*1000</f>
        <v>50880050</v>
      </c>
      <c r="C19" s="12" t="n">
        <f aca="false">D11*1000</f>
        <v>38160037.5</v>
      </c>
      <c r="D19" s="12" t="n">
        <f aca="false">D12*1000</f>
        <v>2544002.5</v>
      </c>
      <c r="E19" s="5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22"/>
    <col collapsed="false" customWidth="true" hidden="false" outlineLevel="0" max="3" min="3" style="1" width="60"/>
  </cols>
  <sheetData>
    <row r="1" customFormat="false" ht="15" hidden="false" customHeight="false" outlineLevel="0" collapsed="false">
      <c r="A1" s="2" t="s">
        <v>27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28</v>
      </c>
      <c r="B4" s="4" t="s">
        <v>29</v>
      </c>
      <c r="C4" s="4" t="s">
        <v>30</v>
      </c>
    </row>
    <row r="5" customFormat="false" ht="15" hidden="false" customHeight="false" outlineLevel="0" collapsed="false">
      <c r="A5" s="5" t="s">
        <v>31</v>
      </c>
      <c r="B5" s="6" t="n">
        <v>10800757</v>
      </c>
      <c r="C5" s="5" t="s">
        <v>32</v>
      </c>
    </row>
    <row r="6" customFormat="false" ht="15" hidden="false" customHeight="false" outlineLevel="0" collapsed="false">
      <c r="A6" s="5" t="s">
        <v>33</v>
      </c>
      <c r="B6" s="6" t="n">
        <v>-2711228</v>
      </c>
      <c r="C6" s="5" t="s">
        <v>34</v>
      </c>
    </row>
    <row r="7" customFormat="false" ht="15" hidden="false" customHeight="false" outlineLevel="0" collapsed="false">
      <c r="A7" s="5" t="s">
        <v>35</v>
      </c>
      <c r="B7" s="6" t="n">
        <v>12292137</v>
      </c>
      <c r="C7" s="5" t="s">
        <v>34</v>
      </c>
    </row>
    <row r="8" customFormat="false" ht="15" hidden="false" customHeight="false" outlineLevel="0" collapsed="false">
      <c r="A8" s="9" t="s">
        <v>36</v>
      </c>
      <c r="B8" s="8" t="n">
        <f aca="false">SUM(B5:B7)</f>
        <v>20381666</v>
      </c>
    </row>
    <row r="9" customFormat="false" ht="15" hidden="false" customHeight="false" outlineLevel="0" collapsed="false">
      <c r="A9" s="5" t="s">
        <v>37</v>
      </c>
      <c r="B9" s="6" t="n">
        <v>20381666</v>
      </c>
      <c r="C9" s="5" t="s">
        <v>38</v>
      </c>
    </row>
    <row r="10" customFormat="false" ht="15" hidden="false" customHeight="false" outlineLevel="0" collapsed="false">
      <c r="A10" s="5" t="s">
        <v>39</v>
      </c>
      <c r="B10" s="8" t="n">
        <f aca="false">B8-B9</f>
        <v>0</v>
      </c>
    </row>
    <row r="12" customFormat="false" ht="15" hidden="false" customHeight="false" outlineLevel="0" collapsed="false">
      <c r="A12" s="9" t="s">
        <v>40</v>
      </c>
      <c r="B12" s="13" t="n">
        <v>20448164979.64</v>
      </c>
      <c r="C12" s="5" t="s">
        <v>41</v>
      </c>
    </row>
    <row r="13" customFormat="false" ht="15" hidden="false" customHeight="false" outlineLevel="0" collapsed="false">
      <c r="A13" s="5" t="s">
        <v>42</v>
      </c>
      <c r="B13" s="12" t="n">
        <f aca="false">B9*1000</f>
        <v>20381666000</v>
      </c>
    </row>
    <row r="14" customFormat="false" ht="15" hidden="false" customHeight="false" outlineLevel="0" collapsed="false">
      <c r="A14" s="5" t="s">
        <v>43</v>
      </c>
      <c r="B14" s="12" t="n">
        <f aca="false">B12-B13</f>
        <v>66498979.6399994</v>
      </c>
    </row>
    <row r="16" customFormat="false" ht="26.85" hidden="false" customHeight="false" outlineLevel="0" collapsed="false">
      <c r="A16" s="4" t="s">
        <v>44</v>
      </c>
      <c r="B16" s="4" t="s">
        <v>29</v>
      </c>
      <c r="C16" s="4" t="s">
        <v>45</v>
      </c>
    </row>
    <row r="17" customFormat="false" ht="15" hidden="false" customHeight="false" outlineLevel="0" collapsed="false">
      <c r="A17" s="5" t="s">
        <v>46</v>
      </c>
      <c r="B17" s="13" t="n">
        <v>22927174.92</v>
      </c>
      <c r="C17" s="5" t="s">
        <v>47</v>
      </c>
    </row>
    <row r="18" customFormat="false" ht="15" hidden="false" customHeight="false" outlineLevel="0" collapsed="false">
      <c r="A18" s="5" t="s">
        <v>48</v>
      </c>
      <c r="B18" s="13" t="n">
        <v>0</v>
      </c>
      <c r="C18" s="5" t="s">
        <v>49</v>
      </c>
    </row>
    <row r="19" customFormat="false" ht="15" hidden="false" customHeight="false" outlineLevel="0" collapsed="false">
      <c r="A19" s="5" t="s">
        <v>50</v>
      </c>
      <c r="B19" s="13" t="n">
        <v>5410.58</v>
      </c>
      <c r="C19" s="5" t="s">
        <v>51</v>
      </c>
    </row>
    <row r="20" customFormat="false" ht="15" hidden="false" customHeight="false" outlineLevel="0" collapsed="false">
      <c r="A20" s="5" t="s">
        <v>52</v>
      </c>
      <c r="B20" s="13" t="n">
        <v>0</v>
      </c>
      <c r="C20" s="5" t="s">
        <v>53</v>
      </c>
    </row>
    <row r="21" customFormat="false" ht="15" hidden="false" customHeight="false" outlineLevel="0" collapsed="false">
      <c r="A21" s="5" t="s">
        <v>54</v>
      </c>
      <c r="B21" s="13" t="n">
        <v>-18492927.06</v>
      </c>
      <c r="C21" s="5" t="s">
        <v>55</v>
      </c>
    </row>
    <row r="22" customFormat="false" ht="15" hidden="false" customHeight="false" outlineLevel="0" collapsed="false">
      <c r="A22" s="5" t="s">
        <v>56</v>
      </c>
      <c r="B22" s="13" t="n">
        <v>-23071.29</v>
      </c>
      <c r="C22" s="5" t="s">
        <v>57</v>
      </c>
    </row>
    <row r="23" customFormat="false" ht="15" hidden="false" customHeight="false" outlineLevel="0" collapsed="false">
      <c r="A23" s="5" t="s">
        <v>58</v>
      </c>
      <c r="B23" s="13" t="n">
        <v>0</v>
      </c>
      <c r="C23" s="5" t="s">
        <v>59</v>
      </c>
    </row>
    <row r="24" customFormat="false" ht="15" hidden="false" customHeight="false" outlineLevel="0" collapsed="false">
      <c r="A24" s="5" t="s">
        <v>60</v>
      </c>
      <c r="B24" s="13" t="n">
        <v>62082392.44</v>
      </c>
      <c r="C24" s="5" t="s">
        <v>61</v>
      </c>
    </row>
    <row r="25" customFormat="false" ht="15" hidden="false" customHeight="false" outlineLevel="0" collapsed="false">
      <c r="A25" s="9" t="s">
        <v>62</v>
      </c>
      <c r="B25" s="12" t="n">
        <f aca="false">SUM(B17:B24)</f>
        <v>66498979.59</v>
      </c>
    </row>
    <row r="26" customFormat="false" ht="15" hidden="false" customHeight="false" outlineLevel="0" collapsed="false">
      <c r="A26" s="9" t="s">
        <v>63</v>
      </c>
      <c r="B26" s="14" t="n">
        <f aca="false">B14-B25</f>
        <v>0.0499993860721588</v>
      </c>
      <c r="C26" s="5" t="s">
        <v>64</v>
      </c>
    </row>
    <row r="29" customFormat="false" ht="15" hidden="false" customHeight="false" outlineLevel="0" collapsed="false">
      <c r="A29" s="4" t="s">
        <v>65</v>
      </c>
      <c r="B29" s="4" t="s">
        <v>66</v>
      </c>
      <c r="C29" s="4" t="s">
        <v>67</v>
      </c>
    </row>
    <row r="30" customFormat="false" ht="15" hidden="false" customHeight="false" outlineLevel="0" collapsed="false">
      <c r="A30" s="5" t="s">
        <v>68</v>
      </c>
      <c r="B30" s="6" t="n">
        <v>20700140</v>
      </c>
      <c r="C30" s="5" t="s">
        <v>69</v>
      </c>
    </row>
    <row r="31" customFormat="false" ht="15" hidden="false" customHeight="false" outlineLevel="0" collapsed="false">
      <c r="A31" s="5" t="s">
        <v>70</v>
      </c>
      <c r="B31" s="6" t="n">
        <v>-91304</v>
      </c>
      <c r="C31" s="5" t="s">
        <v>71</v>
      </c>
    </row>
    <row r="32" customFormat="false" ht="15" hidden="false" customHeight="false" outlineLevel="0" collapsed="false">
      <c r="A32" s="5" t="s">
        <v>72</v>
      </c>
      <c r="B32" s="6" t="n">
        <v>-5576</v>
      </c>
      <c r="C32" s="5" t="s">
        <v>71</v>
      </c>
    </row>
    <row r="33" customFormat="false" ht="15" hidden="false" customHeight="false" outlineLevel="0" collapsed="false">
      <c r="A33" s="5" t="s">
        <v>73</v>
      </c>
      <c r="B33" s="6" t="n">
        <v>176577</v>
      </c>
      <c r="C33" s="5" t="s">
        <v>71</v>
      </c>
    </row>
    <row r="34" customFormat="false" ht="15" hidden="false" customHeight="false" outlineLevel="0" collapsed="false">
      <c r="A34" s="5" t="s">
        <v>74</v>
      </c>
      <c r="B34" s="6" t="n">
        <v>4164</v>
      </c>
      <c r="C34" s="5" t="s">
        <v>71</v>
      </c>
    </row>
    <row r="35" customFormat="false" ht="15" hidden="false" customHeight="false" outlineLevel="0" collapsed="false">
      <c r="A35" s="5" t="s">
        <v>75</v>
      </c>
      <c r="B35" s="6" t="n">
        <v>-53881</v>
      </c>
      <c r="C35" s="5" t="s">
        <v>71</v>
      </c>
    </row>
    <row r="36" customFormat="false" ht="15" hidden="false" customHeight="false" outlineLevel="0" collapsed="false">
      <c r="A36" s="5" t="s">
        <v>76</v>
      </c>
      <c r="B36" s="6" t="n">
        <v>-136703</v>
      </c>
      <c r="C36" s="5" t="s">
        <v>71</v>
      </c>
    </row>
    <row r="37" customFormat="false" ht="15" hidden="false" customHeight="false" outlineLevel="0" collapsed="false">
      <c r="A37" s="5" t="s">
        <v>77</v>
      </c>
      <c r="B37" s="6" t="n">
        <v>-150117</v>
      </c>
      <c r="C37" s="5" t="s">
        <v>71</v>
      </c>
    </row>
    <row r="38" customFormat="false" ht="15" hidden="false" customHeight="false" outlineLevel="0" collapsed="false">
      <c r="A38" s="5" t="s">
        <v>78</v>
      </c>
      <c r="B38" s="6" t="n">
        <v>-61634</v>
      </c>
      <c r="C38" s="5" t="s">
        <v>71</v>
      </c>
    </row>
    <row r="39" customFormat="false" ht="15" hidden="false" customHeight="false" outlineLevel="0" collapsed="false">
      <c r="A39" s="9" t="s">
        <v>79</v>
      </c>
      <c r="B39" s="8" t="n">
        <f aca="false">SUM(B30:B38)</f>
        <v>20381666</v>
      </c>
    </row>
    <row r="40" customFormat="false" ht="15" hidden="false" customHeight="false" outlineLevel="0" collapsed="false">
      <c r="A40" s="5" t="s">
        <v>80</v>
      </c>
      <c r="B40" s="8" t="n">
        <f aca="false">B39-B9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22"/>
    <col collapsed="false" customWidth="true" hidden="false" outlineLevel="0" max="3" min="3" style="1" width="62"/>
  </cols>
  <sheetData>
    <row r="1" customFormat="false" ht="15" hidden="false" customHeight="false" outlineLevel="0" collapsed="false">
      <c r="A1" s="2" t="s">
        <v>81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82</v>
      </c>
      <c r="B4" s="4" t="s">
        <v>83</v>
      </c>
      <c r="C4" s="4" t="s">
        <v>84</v>
      </c>
    </row>
    <row r="5" customFormat="false" ht="15" hidden="false" customHeight="false" outlineLevel="0" collapsed="false">
      <c r="A5" s="5" t="s">
        <v>85</v>
      </c>
      <c r="B5" s="15" t="n">
        <f aca="false">PT320_Materialidade!C19</f>
        <v>38160037.5</v>
      </c>
    </row>
    <row r="6" customFormat="false" ht="15" hidden="false" customHeight="false" outlineLevel="0" collapsed="false">
      <c r="A6" s="5" t="s">
        <v>86</v>
      </c>
      <c r="B6" s="16" t="n">
        <v>3</v>
      </c>
    </row>
    <row r="7" customFormat="false" ht="15" hidden="false" customHeight="false" outlineLevel="0" collapsed="false">
      <c r="A7" s="5" t="s">
        <v>87</v>
      </c>
      <c r="B7" s="13" t="n">
        <v>20161940003.18</v>
      </c>
      <c r="C7" s="5" t="s">
        <v>88</v>
      </c>
    </row>
    <row r="8" customFormat="false" ht="15" hidden="false" customHeight="false" outlineLevel="0" collapsed="false">
      <c r="A8" s="5" t="s">
        <v>89</v>
      </c>
      <c r="B8" s="12" t="n">
        <f aca="false">B5/B6</f>
        <v>12720012.5</v>
      </c>
    </row>
    <row r="9" customFormat="false" ht="15" hidden="false" customHeight="false" outlineLevel="0" collapsed="false">
      <c r="A9" s="5" t="s">
        <v>90</v>
      </c>
      <c r="B9" s="17" t="n">
        <f aca="false">ROUNDUP(B7/B8,0)</f>
        <v>1586</v>
      </c>
    </row>
    <row r="10" customFormat="false" ht="15" hidden="false" customHeight="false" outlineLevel="0" collapsed="false">
      <c r="A10" s="5" t="s">
        <v>91</v>
      </c>
      <c r="B10" s="18" t="n">
        <v>1570</v>
      </c>
      <c r="C10" s="5" t="s">
        <v>92</v>
      </c>
    </row>
    <row r="11" customFormat="false" ht="15" hidden="false" customHeight="false" outlineLevel="0" collapsed="false">
      <c r="A11" s="5" t="s">
        <v>93</v>
      </c>
      <c r="B11" s="18" t="n">
        <v>4</v>
      </c>
    </row>
    <row r="12" customFormat="false" ht="15" hidden="false" customHeight="false" outlineLevel="0" collapsed="false">
      <c r="A12" s="5" t="s">
        <v>94</v>
      </c>
      <c r="B12" s="18" t="n">
        <v>60</v>
      </c>
    </row>
    <row r="14" customFormat="false" ht="15" hidden="false" customHeight="false" outlineLevel="0" collapsed="false">
      <c r="A14" s="5" t="s">
        <v>95</v>
      </c>
      <c r="B14" s="18" t="n">
        <v>18</v>
      </c>
    </row>
    <row r="15" customFormat="false" ht="15" hidden="false" customHeight="false" outlineLevel="0" collapsed="false">
      <c r="A15" s="5" t="s">
        <v>96</v>
      </c>
      <c r="B15" s="18" t="n">
        <v>10</v>
      </c>
    </row>
    <row r="16" customFormat="false" ht="15" hidden="false" customHeight="false" outlineLevel="0" collapsed="false">
      <c r="A16" s="5" t="s">
        <v>97</v>
      </c>
      <c r="B16" s="13" t="n">
        <v>3040314.01</v>
      </c>
    </row>
    <row r="17" customFormat="false" ht="15" hidden="false" customHeight="false" outlineLevel="0" collapsed="false">
      <c r="A17" s="5" t="s">
        <v>98</v>
      </c>
      <c r="B17" s="12" t="n">
        <f aca="false">B6*B8</f>
        <v>38160037.5</v>
      </c>
    </row>
    <row r="18" customFormat="false" ht="15" hidden="false" customHeight="false" outlineLevel="0" collapsed="false">
      <c r="A18" s="5" t="s">
        <v>99</v>
      </c>
      <c r="B18" s="13" t="n">
        <v>39488929.2</v>
      </c>
    </row>
    <row r="19" customFormat="false" ht="15" hidden="false" customHeight="false" outlineLevel="0" collapsed="false">
      <c r="A19" s="9" t="s">
        <v>100</v>
      </c>
      <c r="B19" s="19" t="n">
        <v>100530747.24</v>
      </c>
    </row>
    <row r="20" customFormat="false" ht="15" hidden="false" customHeight="false" outlineLevel="0" collapsed="false">
      <c r="A20" s="5" t="s">
        <v>101</v>
      </c>
      <c r="B20" s="5" t="str">
        <f aca="false">IF(B19&gt;B5,"NÃO ACEITA: limite superior &gt; erro tolerável","ACEITA")</f>
        <v>NÃO ACEITA: limite superior &gt; erro tolerável</v>
      </c>
      <c r="C20" s="5" t="s">
        <v>102</v>
      </c>
    </row>
    <row r="22" customFormat="false" ht="15" hidden="false" customHeight="false" outlineLevel="0" collapsed="false">
      <c r="A22" s="5" t="s">
        <v>103</v>
      </c>
    </row>
    <row r="23" customFormat="false" ht="15" hidden="false" customHeight="false" outlineLevel="0" collapsed="false">
      <c r="B23" s="16" t="n">
        <v>1.75</v>
      </c>
      <c r="C23" s="5" t="s">
        <v>104</v>
      </c>
    </row>
    <row r="24" customFormat="false" ht="15" hidden="false" customHeight="false" outlineLevel="0" collapsed="false">
      <c r="B24" s="16" t="n">
        <v>1.55</v>
      </c>
    </row>
    <row r="25" customFormat="false" ht="15" hidden="false" customHeight="false" outlineLevel="0" collapsed="false">
      <c r="B25" s="16" t="n">
        <v>1.46</v>
      </c>
    </row>
    <row r="26" customFormat="false" ht="15" hidden="false" customHeight="false" outlineLevel="0" collapsed="false">
      <c r="B26" s="16" t="n">
        <v>1.4</v>
      </c>
    </row>
    <row r="27" customFormat="false" ht="15" hidden="false" customHeight="false" outlineLevel="0" collapsed="false">
      <c r="B27" s="16" t="n">
        <v>1.36</v>
      </c>
    </row>
    <row r="28" customFormat="false" ht="15" hidden="false" customHeight="false" outlineLevel="0" collapsed="false">
      <c r="B28" s="16" t="n">
        <v>1.33</v>
      </c>
    </row>
    <row r="29" customFormat="false" ht="15" hidden="false" customHeight="false" outlineLevel="0" collapsed="false">
      <c r="B29" s="16" t="n">
        <v>1.31</v>
      </c>
    </row>
    <row r="30" customFormat="false" ht="15" hidden="false" customHeight="false" outlineLevel="0" collapsed="false">
      <c r="B30" s="16" t="n">
        <v>1.29</v>
      </c>
    </row>
    <row r="31" customFormat="false" ht="15" hidden="false" customHeight="false" outlineLevel="0" collapsed="false">
      <c r="B31" s="16" t="n">
        <v>1.28</v>
      </c>
    </row>
    <row r="32" customFormat="false" ht="15" hidden="false" customHeight="false" outlineLevel="0" collapsed="false">
      <c r="B32" s="16" t="n">
        <v>1.27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7" min="2" style="1" width="16"/>
  </cols>
  <sheetData>
    <row r="1" customFormat="false" ht="15" hidden="false" customHeight="false" outlineLevel="0" collapsed="false">
      <c r="A1" s="2" t="s">
        <v>105</v>
      </c>
    </row>
    <row r="2" customFormat="false" ht="15" hidden="false" customHeight="false" outlineLevel="0" collapsed="false">
      <c r="A2" s="3" t="s">
        <v>1</v>
      </c>
    </row>
    <row r="4" customFormat="false" ht="26.85" hidden="false" customHeight="false" outlineLevel="0" collapsed="false">
      <c r="A4" s="4" t="s">
        <v>106</v>
      </c>
      <c r="B4" s="4" t="s">
        <v>107</v>
      </c>
      <c r="C4" s="4" t="s">
        <v>108</v>
      </c>
      <c r="D4" s="4" t="s">
        <v>109</v>
      </c>
      <c r="E4" s="4" t="s">
        <v>110</v>
      </c>
      <c r="F4" s="4" t="s">
        <v>111</v>
      </c>
      <c r="G4" s="4" t="s">
        <v>112</v>
      </c>
    </row>
    <row r="5" customFormat="false" ht="15" hidden="false" customHeight="false" outlineLevel="0" collapsed="false">
      <c r="A5" s="5" t="s">
        <v>113</v>
      </c>
      <c r="B5" s="6" t="n">
        <v>314349</v>
      </c>
      <c r="C5" s="6" t="n">
        <v>16492</v>
      </c>
      <c r="D5" s="6" t="n">
        <v>15065</v>
      </c>
      <c r="E5" s="6" t="n">
        <v>19554</v>
      </c>
      <c r="F5" s="6" t="n">
        <v>287585</v>
      </c>
      <c r="G5" s="8" t="n">
        <f aca="false">SUM(B5:F5)</f>
        <v>653045</v>
      </c>
    </row>
    <row r="6" customFormat="false" ht="15" hidden="false" customHeight="false" outlineLevel="0" collapsed="false">
      <c r="A6" s="5" t="s">
        <v>114</v>
      </c>
      <c r="B6" s="6" t="n">
        <v>3121</v>
      </c>
      <c r="C6" s="6" t="n">
        <v>813</v>
      </c>
      <c r="D6" s="6" t="n">
        <v>450</v>
      </c>
      <c r="E6" s="6" t="n">
        <v>987</v>
      </c>
      <c r="F6" s="6" t="n">
        <v>20273</v>
      </c>
      <c r="G6" s="8" t="n">
        <f aca="false">SUM(B6:F6)</f>
        <v>25644</v>
      </c>
    </row>
    <row r="7" customFormat="false" ht="15" hidden="false" customHeight="false" outlineLevel="0" collapsed="false">
      <c r="A7" s="5" t="s">
        <v>115</v>
      </c>
      <c r="B7" s="6" t="n">
        <v>15118</v>
      </c>
      <c r="C7" s="6" t="n">
        <v>1413</v>
      </c>
      <c r="D7" s="6" t="n">
        <v>3349</v>
      </c>
      <c r="E7" s="6" t="n">
        <v>10346</v>
      </c>
      <c r="F7" s="6" t="n">
        <v>129457</v>
      </c>
      <c r="G7" s="8" t="n">
        <f aca="false">SUM(B7:F7)</f>
        <v>159683</v>
      </c>
    </row>
    <row r="8" customFormat="false" ht="15" hidden="false" customHeight="false" outlineLevel="0" collapsed="false">
      <c r="A8" s="9" t="s">
        <v>116</v>
      </c>
      <c r="B8" s="8" t="n">
        <f aca="false">SUM(B5:B7)</f>
        <v>332588</v>
      </c>
      <c r="C8" s="8" t="n">
        <f aca="false">SUM(C5:C7)</f>
        <v>18718</v>
      </c>
      <c r="D8" s="8" t="n">
        <f aca="false">SUM(D5:D7)</f>
        <v>18864</v>
      </c>
      <c r="E8" s="8" t="n">
        <f aca="false">SUM(E5:E7)</f>
        <v>30887</v>
      </c>
      <c r="F8" s="8" t="n">
        <f aca="false">SUM(F5:F7)</f>
        <v>437315</v>
      </c>
      <c r="G8" s="8" t="n">
        <f aca="false">SUM(G5:G7)</f>
        <v>838372</v>
      </c>
    </row>
    <row r="9" customFormat="false" ht="15" hidden="false" customHeight="false" outlineLevel="0" collapsed="false">
      <c r="A9" s="5" t="s">
        <v>117</v>
      </c>
      <c r="B9" s="11" t="n">
        <v>0.0378</v>
      </c>
      <c r="C9" s="11" t="n">
        <v>0.3952</v>
      </c>
      <c r="D9" s="11" t="n">
        <v>0.6579</v>
      </c>
      <c r="E9" s="11" t="n">
        <v>0.9101</v>
      </c>
      <c r="F9" s="11" t="n">
        <v>1</v>
      </c>
    </row>
    <row r="10" customFormat="false" ht="15" hidden="false" customHeight="false" outlineLevel="0" collapsed="false">
      <c r="A10" s="5" t="s">
        <v>118</v>
      </c>
      <c r="B10" s="8" t="n">
        <f aca="false">B8*B9</f>
        <v>12571.8264</v>
      </c>
      <c r="C10" s="8" t="n">
        <f aca="false">C8*C9</f>
        <v>7397.3536</v>
      </c>
      <c r="D10" s="8" t="n">
        <f aca="false">D8*D9</f>
        <v>12410.6256</v>
      </c>
      <c r="E10" s="8" t="n">
        <f aca="false">E8*E9</f>
        <v>28110.2587</v>
      </c>
      <c r="F10" s="8" t="n">
        <f aca="false">F8*F9</f>
        <v>437315</v>
      </c>
      <c r="G10" s="8" t="n">
        <f aca="false">SUM(B10:F10)</f>
        <v>497805.0643</v>
      </c>
    </row>
    <row r="12" customFormat="false" ht="15" hidden="false" customHeight="false" outlineLevel="0" collapsed="false">
      <c r="A12" s="5" t="s">
        <v>119</v>
      </c>
      <c r="B12" s="6" t="n">
        <v>546430</v>
      </c>
    </row>
    <row r="13" customFormat="false" ht="15" hidden="false" customHeight="false" outlineLevel="0" collapsed="false">
      <c r="A13" s="5" t="s">
        <v>120</v>
      </c>
      <c r="B13" s="8" t="n">
        <f aca="false">73905+22999</f>
        <v>96904</v>
      </c>
    </row>
    <row r="14" customFormat="false" ht="15" hidden="false" customHeight="false" outlineLevel="0" collapsed="false">
      <c r="A14" s="5" t="s">
        <v>121</v>
      </c>
      <c r="B14" s="8" t="n">
        <f aca="false">B12-G10</f>
        <v>48624.9357</v>
      </c>
    </row>
    <row r="15" customFormat="false" ht="15" hidden="false" customHeight="false" outlineLevel="0" collapsed="false">
      <c r="A15" s="5" t="s">
        <v>122</v>
      </c>
      <c r="B15" s="20" t="n">
        <f aca="false">B14/B13</f>
        <v>0.501784608478494</v>
      </c>
      <c r="C15" s="5" t="s">
        <v>123</v>
      </c>
    </row>
    <row r="16" customFormat="false" ht="15" hidden="false" customHeight="false" outlineLevel="0" collapsed="false">
      <c r="A16" s="5" t="s">
        <v>124</v>
      </c>
      <c r="B16" s="20" t="n">
        <f aca="false">B14/PT320_Materialidade!D11</f>
        <v>1.27423710471983</v>
      </c>
    </row>
    <row r="18" customFormat="false" ht="26.85" hidden="false" customHeight="false" outlineLevel="0" collapsed="false">
      <c r="A18" s="4" t="s">
        <v>125</v>
      </c>
      <c r="B18" s="4" t="s">
        <v>126</v>
      </c>
      <c r="C18" s="4" t="s">
        <v>127</v>
      </c>
      <c r="D18" s="4" t="s">
        <v>128</v>
      </c>
      <c r="E18" s="4" t="s">
        <v>129</v>
      </c>
      <c r="F18" s="4" t="s">
        <v>130</v>
      </c>
      <c r="G18" s="4"/>
    </row>
    <row r="19" customFormat="false" ht="15" hidden="false" customHeight="false" outlineLevel="0" collapsed="false">
      <c r="A19" s="5" t="s">
        <v>131</v>
      </c>
      <c r="B19" s="8" t="n">
        <f aca="false">B8*B9+C8*MIN(1,C9+(-0.1))+D8*MIN(1,D9+(-0.1))+E8*MIN(1,E9+(-0.1))+F8*F9</f>
        <v>490958.1643</v>
      </c>
      <c r="C19" s="8" t="n">
        <f aca="false">B8*B9+C8*MIN(1,C9+(-0.05))+D8*MIN(1,D9+(-0.05))+E8*MIN(1,E9+(-0.05))+F8*F9</f>
        <v>494381.6143</v>
      </c>
      <c r="D19" s="8" t="n">
        <f aca="false">B8*B9+C8*MIN(1,C9+(0))+D8*MIN(1,D9+(0))+E8*MIN(1,E9+(0))+F8*F9</f>
        <v>497805.0643</v>
      </c>
      <c r="E19" s="8" t="n">
        <f aca="false">B8*B9+C8*MIN(1,C9+(0.05))+D8*MIN(1,D9+(0.05))+E8*MIN(1,E9+(0.05))+F8*F9</f>
        <v>501228.5143</v>
      </c>
      <c r="F19" s="8" t="n">
        <f aca="false">B8*B9+C8*MIN(1,C9+(0.1))+D8*MIN(1,D9+(0.1))+E8*MIN(1,E9+(0.1))+F8*F9</f>
        <v>504340.0056</v>
      </c>
    </row>
    <row r="20" customFormat="false" ht="15" hidden="false" customHeight="false" outlineLevel="0" collapsed="false">
      <c r="A20" s="5" t="s">
        <v>132</v>
      </c>
      <c r="B20" s="8" t="n">
        <f aca="false">B19-$D$19</f>
        <v>-6846.89999999997</v>
      </c>
      <c r="C20" s="8" t="n">
        <f aca="false">C19-$D$19</f>
        <v>-3423.44999999995</v>
      </c>
      <c r="D20" s="8" t="n">
        <f aca="false">D19-$D$19</f>
        <v>0</v>
      </c>
      <c r="E20" s="8" t="n">
        <f aca="false">E19-$D$19</f>
        <v>3423.45000000007</v>
      </c>
      <c r="F20" s="8" t="n">
        <f aca="false">F19-$D$19</f>
        <v>6534.94130000006</v>
      </c>
    </row>
    <row r="21" customFormat="false" ht="15" hidden="false" customHeight="false" outlineLevel="0" collapsed="false">
      <c r="A21" s="5" t="s">
        <v>133</v>
      </c>
      <c r="B21" s="21" t="n">
        <f aca="false">ABS(B20)/PT320_Materialidade!$D$11</f>
        <v>0.179425924306284</v>
      </c>
      <c r="C21" s="21" t="n">
        <f aca="false">ABS(C20)/PT320_Materialidade!$D$11</f>
        <v>0.0897129621531413</v>
      </c>
      <c r="D21" s="21" t="n">
        <f aca="false">ABS(D20)/PT320_Materialidade!$D$11</f>
        <v>0</v>
      </c>
      <c r="E21" s="21" t="n">
        <f aca="false">ABS(E20)/PT320_Materialidade!$D$11</f>
        <v>0.0897129621531444</v>
      </c>
      <c r="F21" s="21" t="n">
        <f aca="false">ABS(F20)/PT320_Materialidade!$D$11</f>
        <v>0.17125091399609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4"/>
    <col collapsed="false" customWidth="true" hidden="false" outlineLevel="0" max="5" min="4" style="1" width="12"/>
    <col collapsed="false" customWidth="true" hidden="false" outlineLevel="0" max="8" min="6" style="1" width="14"/>
    <col collapsed="false" customWidth="true" hidden="false" outlineLevel="0" max="9" min="9" style="1" width="40"/>
  </cols>
  <sheetData>
    <row r="1" customFormat="false" ht="15" hidden="false" customHeight="false" outlineLevel="0" collapsed="false">
      <c r="A1" s="2" t="s">
        <v>134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9" t="s">
        <v>135</v>
      </c>
      <c r="D3" s="7" t="n">
        <v>0.04</v>
      </c>
      <c r="E3" s="5" t="s">
        <v>136</v>
      </c>
    </row>
    <row r="4" customFormat="false" ht="26.85" hidden="false" customHeight="false" outlineLevel="0" collapsed="false">
      <c r="A4" s="4" t="s">
        <v>137</v>
      </c>
      <c r="B4" s="4" t="s">
        <v>138</v>
      </c>
      <c r="C4" s="4" t="s">
        <v>139</v>
      </c>
      <c r="D4" s="4" t="s">
        <v>140</v>
      </c>
      <c r="E4" s="4" t="s">
        <v>141</v>
      </c>
      <c r="F4" s="4" t="s">
        <v>142</v>
      </c>
      <c r="G4" s="4" t="s">
        <v>143</v>
      </c>
      <c r="H4" s="4" t="s">
        <v>144</v>
      </c>
      <c r="I4" s="4" t="s">
        <v>145</v>
      </c>
    </row>
    <row r="5" customFormat="false" ht="15" hidden="false" customHeight="false" outlineLevel="0" collapsed="false">
      <c r="A5" s="5" t="s">
        <v>146</v>
      </c>
      <c r="B5" s="6" t="n">
        <v>2055493</v>
      </c>
      <c r="C5" s="6" t="n">
        <v>1973209</v>
      </c>
      <c r="D5" s="8" t="n">
        <f aca="false">B5-C5</f>
        <v>82284</v>
      </c>
      <c r="E5" s="20" t="n">
        <f aca="false">IF(C5=0,0,D5/ABS(C5))</f>
        <v>0.0417006003925585</v>
      </c>
      <c r="F5" s="8" t="n">
        <f aca="false">C5*(1+$D$3)</f>
        <v>2052137.36</v>
      </c>
      <c r="G5" s="8" t="n">
        <f aca="false">B5-F5</f>
        <v>3355.6399999999</v>
      </c>
      <c r="H5" s="5" t="str">
        <f aca="false">IF(ABS(G5)&gt;PT320_Materialidade!$D$11,"SIM","não")</f>
        <v>não</v>
      </c>
      <c r="I5" s="5" t="s">
        <v>147</v>
      </c>
    </row>
    <row r="6" customFormat="false" ht="15" hidden="false" customHeight="false" outlineLevel="0" collapsed="false">
      <c r="A6" s="5" t="s">
        <v>148</v>
      </c>
      <c r="B6" s="6" t="n">
        <v>634500</v>
      </c>
      <c r="C6" s="6" t="n">
        <v>598008</v>
      </c>
      <c r="D6" s="8" t="n">
        <f aca="false">B6-C6</f>
        <v>36492</v>
      </c>
      <c r="E6" s="20" t="n">
        <f aca="false">IF(C6=0,0,D6/ABS(C6))</f>
        <v>0.0610225950154513</v>
      </c>
      <c r="F6" s="8" t="n">
        <f aca="false">C6*(1+$D$3)</f>
        <v>621928.32</v>
      </c>
      <c r="G6" s="8" t="n">
        <f aca="false">B6-F6</f>
        <v>12571.6799999999</v>
      </c>
      <c r="H6" s="5" t="str">
        <f aca="false">IF(ABS(G6)&gt;PT320_Materialidade!$D$11,"SIM","não")</f>
        <v>não</v>
      </c>
      <c r="I6" s="5" t="s">
        <v>147</v>
      </c>
    </row>
    <row r="7" customFormat="false" ht="15" hidden="false" customHeight="false" outlineLevel="0" collapsed="false">
      <c r="A7" s="5" t="s">
        <v>149</v>
      </c>
      <c r="B7" s="6" t="n">
        <v>341541</v>
      </c>
      <c r="C7" s="6" t="n">
        <v>329946</v>
      </c>
      <c r="D7" s="8" t="n">
        <f aca="false">B7-C7</f>
        <v>11595</v>
      </c>
      <c r="E7" s="20" t="n">
        <f aca="false">IF(C7=0,0,D7/ABS(C7))</f>
        <v>0.035142114164136</v>
      </c>
      <c r="F7" s="8" t="n">
        <f aca="false">C7*(1+$D$3)</f>
        <v>343143.84</v>
      </c>
      <c r="G7" s="8" t="n">
        <f aca="false">B7-F7</f>
        <v>-1602.84000000003</v>
      </c>
      <c r="H7" s="5" t="str">
        <f aca="false">IF(ABS(G7)&gt;PT320_Materialidade!$D$11,"SIM","não")</f>
        <v>não</v>
      </c>
      <c r="I7" s="5" t="s">
        <v>147</v>
      </c>
    </row>
    <row r="8" customFormat="false" ht="15" hidden="false" customHeight="false" outlineLevel="0" collapsed="false">
      <c r="A8" s="5" t="s">
        <v>150</v>
      </c>
      <c r="B8" s="6" t="n">
        <v>2859106</v>
      </c>
      <c r="C8" s="6" t="n">
        <v>2739848</v>
      </c>
      <c r="D8" s="8" t="n">
        <f aca="false">B8-C8</f>
        <v>119258</v>
      </c>
      <c r="E8" s="20" t="n">
        <f aca="false">IF(C8=0,0,D8/ABS(C8))</f>
        <v>0.0435272321676239</v>
      </c>
      <c r="F8" s="8" t="n">
        <f aca="false">C8*(1+$D$3)</f>
        <v>2849441.92</v>
      </c>
      <c r="G8" s="8" t="n">
        <f aca="false">B8-F8</f>
        <v>9664.08000000008</v>
      </c>
      <c r="H8" s="5" t="str">
        <f aca="false">IF(ABS(G8)&gt;PT320_Materialidade!$D$11,"SIM","não")</f>
        <v>não</v>
      </c>
      <c r="I8" s="5" t="s">
        <v>151</v>
      </c>
    </row>
    <row r="9" customFormat="false" ht="15" hidden="false" customHeight="false" outlineLevel="0" collapsed="false">
      <c r="A9" s="5" t="s">
        <v>152</v>
      </c>
      <c r="B9" s="6" t="n">
        <v>746938</v>
      </c>
      <c r="C9" s="6" t="n">
        <v>718981</v>
      </c>
      <c r="D9" s="8" t="n">
        <f aca="false">B9-C9</f>
        <v>27957</v>
      </c>
      <c r="E9" s="20" t="n">
        <f aca="false">IF(C9=0,0,D9/ABS(C9))</f>
        <v>0.0388841986088645</v>
      </c>
      <c r="F9" s="8" t="n">
        <f aca="false">C9*(1+$D$3)</f>
        <v>747740.24</v>
      </c>
      <c r="G9" s="8" t="n">
        <f aca="false">B9-F9</f>
        <v>-802.239999999991</v>
      </c>
      <c r="H9" s="5" t="str">
        <f aca="false">IF(ABS(G9)&gt;PT320_Materialidade!$D$11,"SIM","não")</f>
        <v>não</v>
      </c>
      <c r="I9" s="5" t="s">
        <v>153</v>
      </c>
    </row>
    <row r="10" customFormat="false" ht="15" hidden="false" customHeight="false" outlineLevel="0" collapsed="false">
      <c r="A10" s="5" t="s">
        <v>154</v>
      </c>
      <c r="B10" s="6" t="n">
        <v>459233</v>
      </c>
      <c r="C10" s="6" t="n">
        <v>451396</v>
      </c>
      <c r="D10" s="8" t="n">
        <f aca="false">B10-C10</f>
        <v>7837</v>
      </c>
      <c r="E10" s="20" t="n">
        <f aca="false">IF(C10=0,0,D10/ABS(C10))</f>
        <v>0.0173616957172859</v>
      </c>
      <c r="H10" s="5" t="str">
        <f aca="false">IF(ABS(D10)&gt;PT320_Materialidade!$D$11,"SIM","não")</f>
        <v>não</v>
      </c>
      <c r="I10" s="5" t="s">
        <v>155</v>
      </c>
    </row>
    <row r="11" customFormat="false" ht="15" hidden="false" customHeight="false" outlineLevel="0" collapsed="false">
      <c r="A11" s="5" t="s">
        <v>156</v>
      </c>
      <c r="B11" s="6" t="n">
        <v>692505</v>
      </c>
      <c r="C11" s="6" t="n">
        <v>704220</v>
      </c>
      <c r="D11" s="8" t="n">
        <f aca="false">B11-C11</f>
        <v>-11715</v>
      </c>
      <c r="E11" s="20" t="n">
        <f aca="false">IF(C11=0,0,D11/ABS(C11))</f>
        <v>-0.0166354264292409</v>
      </c>
      <c r="F11" s="8" t="n">
        <f aca="false">C11*(1+$D$3)</f>
        <v>732388.8</v>
      </c>
      <c r="G11" s="8" t="n">
        <f aca="false">B11-F11</f>
        <v>-39883.8000000001</v>
      </c>
      <c r="H11" s="5" t="str">
        <f aca="false">IF(ABS(G11)&gt;PT320_Materialidade!$D$11,"SIM","não")</f>
        <v>SIM</v>
      </c>
      <c r="I11" s="5" t="s">
        <v>157</v>
      </c>
    </row>
    <row r="12" customFormat="false" ht="15" hidden="false" customHeight="false" outlineLevel="0" collapsed="false">
      <c r="A12" s="5" t="s">
        <v>158</v>
      </c>
      <c r="B12" s="6" t="n">
        <v>-521759</v>
      </c>
      <c r="C12" s="6" t="n">
        <v>-584923</v>
      </c>
      <c r="D12" s="8" t="n">
        <f aca="false">B12-C12</f>
        <v>63164</v>
      </c>
      <c r="E12" s="20" t="n">
        <f aca="false">IF(C12=0,0,D12/ABS(C12))</f>
        <v>0.107986863228151</v>
      </c>
      <c r="H12" s="5" t="str">
        <f aca="false">IF(ABS(D12)&gt;PT320_Materialidade!$D$11,"SIM","não")</f>
        <v>SIM</v>
      </c>
      <c r="I12" s="5" t="s">
        <v>159</v>
      </c>
    </row>
    <row r="13" customFormat="false" ht="15" hidden="false" customHeight="false" outlineLevel="0" collapsed="false">
      <c r="A13" s="5" t="s">
        <v>160</v>
      </c>
      <c r="B13" s="6" t="n">
        <v>1017601</v>
      </c>
      <c r="C13" s="6" t="n">
        <v>868181</v>
      </c>
      <c r="D13" s="8" t="n">
        <f aca="false">B13-C13</f>
        <v>149420</v>
      </c>
      <c r="E13" s="20" t="n">
        <f aca="false">IF(C13=0,0,D13/ABS(C13))</f>
        <v>0.172106968477771</v>
      </c>
      <c r="H13" s="5" t="str">
        <f aca="false">IF(ABS(D13)&gt;PT320_Materialidade!$D$11,"SIM","não")</f>
        <v>SIM</v>
      </c>
      <c r="I13" s="5" t="s">
        <v>151</v>
      </c>
    </row>
    <row r="14" customFormat="false" ht="15" hidden="false" customHeight="false" outlineLevel="0" collapsed="false">
      <c r="A14" s="5" t="s">
        <v>161</v>
      </c>
      <c r="B14" s="6" t="n">
        <v>554236</v>
      </c>
      <c r="C14" s="6" t="n">
        <v>585193</v>
      </c>
      <c r="D14" s="8" t="n">
        <f aca="false">B14-C14</f>
        <v>-30957</v>
      </c>
      <c r="E14" s="20" t="n">
        <f aca="false">IF(C14=0,0,D14/ABS(C14))</f>
        <v>-0.0529004960756537</v>
      </c>
      <c r="H14" s="5" t="str">
        <f aca="false">IF(ABS(D14)&gt;PT320_Materialidade!$D$11,"SIM","não")</f>
        <v>não</v>
      </c>
      <c r="I14" s="5" t="s">
        <v>162</v>
      </c>
    </row>
    <row r="15" customFormat="false" ht="15" hidden="false" customHeight="false" outlineLevel="0" collapsed="false">
      <c r="A15" s="5" t="s">
        <v>163</v>
      </c>
      <c r="B15" s="6" t="n">
        <v>546430</v>
      </c>
      <c r="C15" s="6" t="n">
        <v>519209</v>
      </c>
      <c r="D15" s="8" t="n">
        <f aca="false">B15-C15</f>
        <v>27221</v>
      </c>
      <c r="E15" s="20" t="n">
        <f aca="false">IF(C15=0,0,D15/ABS(C15))</f>
        <v>0.0524278277148509</v>
      </c>
      <c r="H15" s="5" t="str">
        <f aca="false">IF(ABS(D15)&gt;PT320_Materialidade!$D$11,"SIM","não")</f>
        <v>não</v>
      </c>
      <c r="I15" s="5" t="s">
        <v>162</v>
      </c>
    </row>
    <row r="16" customFormat="false" ht="15" hidden="false" customHeight="false" outlineLevel="0" collapsed="false">
      <c r="A16" s="5" t="s">
        <v>164</v>
      </c>
      <c r="B16" s="6" t="n">
        <v>20381666</v>
      </c>
      <c r="C16" s="6" t="n">
        <v>20700140</v>
      </c>
      <c r="D16" s="8" t="n">
        <f aca="false">B16-C16</f>
        <v>-318474</v>
      </c>
      <c r="E16" s="20" t="n">
        <f aca="false">IF(C16=0,0,D16/ABS(C16))</f>
        <v>-0.0153851133373977</v>
      </c>
      <c r="H16" s="5" t="str">
        <f aca="false">IF(ABS(D16)&gt;PT320_Materialidade!$D$11,"SIM","não")</f>
        <v>SIM</v>
      </c>
      <c r="I16" s="5" t="s">
        <v>165</v>
      </c>
    </row>
    <row r="17" customFormat="false" ht="15" hidden="false" customHeight="false" outlineLevel="0" collapsed="false">
      <c r="A17" s="5" t="s">
        <v>166</v>
      </c>
      <c r="B17" s="6" t="n">
        <v>2536587</v>
      </c>
      <c r="C17" s="6" t="n">
        <v>3511385</v>
      </c>
      <c r="D17" s="8" t="n">
        <f aca="false">B17-C17</f>
        <v>-974798</v>
      </c>
      <c r="E17" s="20" t="n">
        <f aca="false">IF(C17=0,0,D17/ABS(C17))</f>
        <v>-0.277610686381585</v>
      </c>
      <c r="H17" s="5" t="str">
        <f aca="false">IF(ABS(D17)&gt;PT320_Materialidade!$D$11,"SIM","não")</f>
        <v>SIM</v>
      </c>
      <c r="I17" s="5" t="s">
        <v>167</v>
      </c>
    </row>
    <row r="18" customFormat="false" ht="15" hidden="false" customHeight="false" outlineLevel="0" collapsed="false">
      <c r="A18" s="5" t="s">
        <v>168</v>
      </c>
      <c r="B18" s="6" t="n">
        <v>5879310</v>
      </c>
      <c r="C18" s="6" t="n">
        <v>6645024</v>
      </c>
      <c r="D18" s="8" t="n">
        <f aca="false">B18-C18</f>
        <v>-765714</v>
      </c>
      <c r="E18" s="20" t="n">
        <f aca="false">IF(C18=0,0,D18/ABS(C18))</f>
        <v>-0.115231186523931</v>
      </c>
      <c r="H18" s="5" t="str">
        <f aca="false">IF(ABS(D18)&gt;PT320_Materialidade!$D$11,"SIM","não")</f>
        <v>SIM</v>
      </c>
      <c r="I18" s="5" t="s">
        <v>169</v>
      </c>
    </row>
    <row r="19" customFormat="false" ht="15" hidden="false" customHeight="false" outlineLevel="0" collapsed="false">
      <c r="A19" s="5" t="s">
        <v>170</v>
      </c>
      <c r="B19" s="6" t="n">
        <v>17887</v>
      </c>
      <c r="C19" s="6" t="n">
        <v>427236</v>
      </c>
      <c r="D19" s="8" t="n">
        <f aca="false">B19-C19</f>
        <v>-409349</v>
      </c>
      <c r="E19" s="20" t="n">
        <f aca="false">IF(C19=0,0,D19/ABS(C19))</f>
        <v>-0.958133209748242</v>
      </c>
      <c r="H19" s="5" t="str">
        <f aca="false">IF(ABS(D19)&gt;PT320_Materialidade!$D$11,"SIM","não")</f>
        <v>SIM</v>
      </c>
      <c r="I19" s="5" t="s">
        <v>171</v>
      </c>
    </row>
    <row r="20" customFormat="false" ht="15" hidden="false" customHeight="false" outlineLevel="0" collapsed="false">
      <c r="A20" s="5" t="s">
        <v>172</v>
      </c>
      <c r="B20" s="6" t="n">
        <v>254628</v>
      </c>
      <c r="C20" s="6" t="n">
        <v>241548</v>
      </c>
      <c r="D20" s="8" t="n">
        <f aca="false">B20-C20</f>
        <v>13080</v>
      </c>
      <c r="E20" s="20" t="n">
        <f aca="false">IF(C20=0,0,D20/ABS(C20))</f>
        <v>0.0541507278056535</v>
      </c>
      <c r="H20" s="5" t="str">
        <f aca="false">IF(ABS(D20)&gt;PT320_Materialidade!$D$11,"SIM","não")</f>
        <v>não</v>
      </c>
      <c r="I20" s="5" t="s">
        <v>173</v>
      </c>
    </row>
    <row r="21" customFormat="false" ht="15" hidden="false" customHeight="false" outlineLevel="0" collapsed="false">
      <c r="A21" s="5" t="s">
        <v>174</v>
      </c>
      <c r="B21" s="6" t="n">
        <v>192477</v>
      </c>
      <c r="C21" s="6" t="n">
        <v>169019</v>
      </c>
      <c r="D21" s="8" t="n">
        <f aca="false">B21-C21</f>
        <v>23458</v>
      </c>
      <c r="E21" s="20" t="n">
        <f aca="false">IF(C21=0,0,D21/ABS(C21))</f>
        <v>0.13878913021613</v>
      </c>
      <c r="H21" s="5" t="str">
        <f aca="false">IF(ABS(D21)&gt;PT320_Materialidade!$D$11,"SIM","não")</f>
        <v>não</v>
      </c>
      <c r="I21" s="5" t="s">
        <v>175</v>
      </c>
    </row>
    <row r="22" customFormat="false" ht="15" hidden="false" customHeight="false" outlineLevel="0" collapsed="false">
      <c r="A22" s="5" t="s">
        <v>176</v>
      </c>
      <c r="B22" s="6" t="n">
        <v>440839</v>
      </c>
      <c r="C22" s="6" t="n">
        <v>211798</v>
      </c>
      <c r="D22" s="8" t="n">
        <f aca="false">B22-C22</f>
        <v>229041</v>
      </c>
      <c r="E22" s="20" t="n">
        <f aca="false">IF(C22=0,0,D22/ABS(C22))</f>
        <v>1.08141247792708</v>
      </c>
      <c r="H22" s="5" t="str">
        <f aca="false">IF(ABS(D22)&gt;PT320_Materialidade!$D$11,"SIM","não")</f>
        <v>SIM</v>
      </c>
      <c r="I22" s="5" t="s">
        <v>175</v>
      </c>
    </row>
    <row r="24" customFormat="false" ht="15" hidden="false" customHeight="false" outlineLevel="0" collapsed="false">
      <c r="A24" s="5" t="s">
        <v>177</v>
      </c>
      <c r="B24" s="22" t="n">
        <f aca="false">PT320_Materialidade!D11</f>
        <v>38160.0375</v>
      </c>
    </row>
    <row r="25" customFormat="false" ht="15" hidden="false" customHeight="false" outlineLevel="0" collapsed="false">
      <c r="A25" s="5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3" min="2" style="1" width="16"/>
    <col collapsed="false" customWidth="true" hidden="false" outlineLevel="0" max="4" min="4" style="1" width="50"/>
  </cols>
  <sheetData>
    <row r="1" customFormat="false" ht="15" hidden="false" customHeight="false" outlineLevel="0" collapsed="false">
      <c r="A1" s="2" t="s">
        <v>179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180</v>
      </c>
      <c r="B4" s="4" t="s">
        <v>181</v>
      </c>
      <c r="C4" s="4" t="s">
        <v>182</v>
      </c>
      <c r="D4" s="4" t="s">
        <v>67</v>
      </c>
    </row>
    <row r="5" customFormat="false" ht="15" hidden="false" customHeight="false" outlineLevel="0" collapsed="false">
      <c r="A5" s="5" t="s">
        <v>183</v>
      </c>
      <c r="B5" s="6" t="n">
        <v>3316531</v>
      </c>
      <c r="C5" s="6" t="n">
        <v>4271851</v>
      </c>
      <c r="D5" s="5" t="s">
        <v>175</v>
      </c>
    </row>
    <row r="6" customFormat="false" ht="15" hidden="false" customHeight="false" outlineLevel="0" collapsed="false">
      <c r="A6" s="5" t="s">
        <v>184</v>
      </c>
      <c r="B6" s="6" t="n">
        <v>1284420</v>
      </c>
      <c r="C6" s="6" t="n">
        <v>2265460</v>
      </c>
      <c r="D6" s="5" t="s">
        <v>175</v>
      </c>
    </row>
    <row r="7" customFormat="false" ht="15" hidden="false" customHeight="false" outlineLevel="0" collapsed="false">
      <c r="A7" s="5" t="s">
        <v>185</v>
      </c>
      <c r="B7" s="6" t="n">
        <v>60570</v>
      </c>
      <c r="C7" s="6" t="n">
        <v>47771</v>
      </c>
      <c r="D7" s="5" t="s">
        <v>175</v>
      </c>
    </row>
    <row r="8" customFormat="false" ht="15" hidden="false" customHeight="false" outlineLevel="0" collapsed="false">
      <c r="A8" s="5" t="s">
        <v>186</v>
      </c>
      <c r="B8" s="6" t="n">
        <v>2536587</v>
      </c>
      <c r="C8" s="6" t="n">
        <v>3511385</v>
      </c>
      <c r="D8" s="5" t="s">
        <v>167</v>
      </c>
    </row>
    <row r="9" customFormat="false" ht="15" hidden="false" customHeight="false" outlineLevel="0" collapsed="false">
      <c r="A9" s="5" t="s">
        <v>187</v>
      </c>
      <c r="B9" s="6" t="n">
        <v>5879310</v>
      </c>
      <c r="C9" s="6" t="n">
        <v>6645024</v>
      </c>
      <c r="D9" s="5" t="s">
        <v>188</v>
      </c>
    </row>
    <row r="10" customFormat="false" ht="15" hidden="false" customHeight="false" outlineLevel="0" collapsed="false">
      <c r="A10" s="5" t="s">
        <v>189</v>
      </c>
      <c r="B10" s="6" t="n">
        <v>17887</v>
      </c>
      <c r="C10" s="6" t="n">
        <v>427236</v>
      </c>
      <c r="D10" s="5" t="s">
        <v>190</v>
      </c>
    </row>
    <row r="11" customFormat="false" ht="15" hidden="false" customHeight="false" outlineLevel="0" collapsed="false">
      <c r="A11" s="5" t="s">
        <v>191</v>
      </c>
      <c r="B11" s="6" t="n">
        <v>132740</v>
      </c>
      <c r="C11" s="6" t="n">
        <v>158383</v>
      </c>
      <c r="D11" s="5" t="s">
        <v>190</v>
      </c>
    </row>
    <row r="12" customFormat="false" ht="15" hidden="false" customHeight="false" outlineLevel="0" collapsed="false">
      <c r="A12" s="5" t="s">
        <v>13</v>
      </c>
      <c r="B12" s="6" t="n">
        <v>13899006</v>
      </c>
      <c r="C12" s="6" t="n">
        <v>14134520</v>
      </c>
      <c r="D12" s="5" t="s">
        <v>175</v>
      </c>
    </row>
    <row r="14" customFormat="false" ht="15" hidden="false" customHeight="false" outlineLevel="0" collapsed="false">
      <c r="A14" s="9" t="s">
        <v>192</v>
      </c>
      <c r="B14" s="21" t="n">
        <f aca="false">B5/B6</f>
        <v>2.58212344871615</v>
      </c>
      <c r="C14" s="21" t="n">
        <f aca="false">C5/C6</f>
        <v>1.88564397517502</v>
      </c>
    </row>
    <row r="15" customFormat="false" ht="15" hidden="false" customHeight="false" outlineLevel="0" collapsed="false">
      <c r="A15" s="5" t="s">
        <v>193</v>
      </c>
      <c r="B15" s="8" t="n">
        <f aca="false">B9+B10-B7-B8+B11</f>
        <v>3432780</v>
      </c>
      <c r="C15" s="8" t="n">
        <f aca="false">C9+C10-C7-C8+C11</f>
        <v>3671487</v>
      </c>
      <c r="D15" s="5" t="s">
        <v>194</v>
      </c>
    </row>
    <row r="16" customFormat="false" ht="15" hidden="false" customHeight="false" outlineLevel="0" collapsed="false">
      <c r="A16" s="5" t="s">
        <v>195</v>
      </c>
      <c r="B16" s="20" t="n">
        <f aca="false">B15/B12</f>
        <v>0.246980251681307</v>
      </c>
      <c r="C16" s="20" t="n">
        <f aca="false">C15/C12</f>
        <v>0.259753214116928</v>
      </c>
    </row>
    <row r="17" customFormat="false" ht="15" hidden="false" customHeight="false" outlineLevel="0" collapsed="false">
      <c r="A17" s="5" t="s">
        <v>196</v>
      </c>
      <c r="B17" s="8" t="n">
        <f aca="false">B15-3432780</f>
        <v>0</v>
      </c>
    </row>
    <row r="18" customFormat="false" ht="15" hidden="false" customHeight="false" outlineLevel="0" collapsed="false">
      <c r="A18" s="5" t="s">
        <v>197</v>
      </c>
      <c r="B18" s="6" t="n">
        <v>2076500</v>
      </c>
      <c r="D18" s="5" t="s">
        <v>198</v>
      </c>
    </row>
    <row r="19" customFormat="false" ht="15" hidden="false" customHeight="false" outlineLevel="0" collapsed="false">
      <c r="A19" s="5" t="s">
        <v>199</v>
      </c>
      <c r="B19" s="21" t="n">
        <f aca="false">B15/B18</f>
        <v>1.65315675415362</v>
      </c>
      <c r="D19" s="5" t="s">
        <v>200</v>
      </c>
    </row>
    <row r="20" customFormat="false" ht="15" hidden="false" customHeight="false" outlineLevel="0" collapsed="false">
      <c r="A20" s="5" t="s">
        <v>201</v>
      </c>
      <c r="B20" s="21" t="n">
        <f aca="false">3.5-B19</f>
        <v>1.84684324584638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"/>
    <col collapsed="false" customWidth="true" hidden="false" outlineLevel="0" max="5" min="3" style="1" width="22"/>
    <col collapsed="false" customWidth="true" hidden="false" outlineLevel="0" max="6" min="6" style="1" width="30"/>
  </cols>
  <sheetData>
    <row r="1" customFormat="false" ht="15" hidden="false" customHeight="false" outlineLevel="0" collapsed="false">
      <c r="A1" s="2" t="s">
        <v>202</v>
      </c>
    </row>
    <row r="2" customFormat="false" ht="15" hidden="false" customHeight="false" outlineLevel="0" collapsed="false">
      <c r="A2" s="3" t="s">
        <v>1</v>
      </c>
    </row>
    <row r="4" customFormat="false" ht="26.85" hidden="false" customHeight="false" outlineLevel="0" collapsed="false">
      <c r="A4" s="4" t="s">
        <v>203</v>
      </c>
      <c r="B4" s="4" t="s">
        <v>204</v>
      </c>
      <c r="C4" s="4" t="s">
        <v>205</v>
      </c>
      <c r="D4" s="4" t="s">
        <v>206</v>
      </c>
      <c r="E4" s="4" t="s">
        <v>207</v>
      </c>
      <c r="F4" s="4" t="s">
        <v>208</v>
      </c>
    </row>
    <row r="5" customFormat="false" ht="15" hidden="false" customHeight="false" outlineLevel="0" collapsed="false">
      <c r="A5" s="5" t="s">
        <v>46</v>
      </c>
      <c r="B5" s="18" t="n">
        <v>150</v>
      </c>
      <c r="C5" s="13" t="n">
        <v>22927174.92</v>
      </c>
      <c r="D5" s="13" t="n">
        <v>22927174.92</v>
      </c>
      <c r="E5" s="5" t="s">
        <v>209</v>
      </c>
      <c r="F5" s="5" t="s">
        <v>210</v>
      </c>
    </row>
    <row r="6" customFormat="false" ht="15" hidden="false" customHeight="false" outlineLevel="0" collapsed="false">
      <c r="A6" s="5" t="s">
        <v>48</v>
      </c>
      <c r="B6" s="18" t="n">
        <v>120</v>
      </c>
      <c r="C6" s="13" t="n">
        <v>10090343.27</v>
      </c>
      <c r="D6" s="13" t="n">
        <v>0</v>
      </c>
      <c r="E6" s="5" t="s">
        <v>209</v>
      </c>
      <c r="F6" s="5" t="s">
        <v>211</v>
      </c>
    </row>
    <row r="7" customFormat="false" ht="15" hidden="false" customHeight="false" outlineLevel="0" collapsed="false">
      <c r="A7" s="5" t="s">
        <v>50</v>
      </c>
      <c r="B7" s="18" t="n">
        <v>200</v>
      </c>
      <c r="C7" s="13" t="n">
        <v>134594.16</v>
      </c>
      <c r="D7" s="13" t="n">
        <v>5410.58</v>
      </c>
      <c r="E7" s="5" t="s">
        <v>209</v>
      </c>
      <c r="F7" s="5" t="s">
        <v>212</v>
      </c>
    </row>
    <row r="8" customFormat="false" ht="15" hidden="false" customHeight="false" outlineLevel="0" collapsed="false">
      <c r="A8" s="5" t="s">
        <v>52</v>
      </c>
      <c r="B8" s="18" t="n">
        <v>80</v>
      </c>
      <c r="C8" s="13" t="n">
        <v>14084610.27</v>
      </c>
      <c r="D8" s="13" t="n">
        <v>0</v>
      </c>
      <c r="E8" s="5" t="s">
        <v>209</v>
      </c>
      <c r="F8" s="5" t="s">
        <v>213</v>
      </c>
    </row>
    <row r="9" customFormat="false" ht="15" hidden="false" customHeight="false" outlineLevel="0" collapsed="false">
      <c r="A9" s="5" t="s">
        <v>54</v>
      </c>
      <c r="B9" s="18" t="n">
        <v>60</v>
      </c>
      <c r="C9" s="13" t="n">
        <v>18492927.06</v>
      </c>
      <c r="D9" s="13" t="n">
        <v>-18492927.06</v>
      </c>
      <c r="E9" s="5" t="s">
        <v>209</v>
      </c>
      <c r="F9" s="5" t="s">
        <v>212</v>
      </c>
    </row>
    <row r="10" customFormat="false" ht="15" hidden="false" customHeight="false" outlineLevel="0" collapsed="false">
      <c r="A10" s="5" t="s">
        <v>56</v>
      </c>
      <c r="B10" s="18" t="n">
        <v>40</v>
      </c>
      <c r="C10" s="13" t="n">
        <v>23071.29</v>
      </c>
      <c r="D10" s="13" t="n">
        <v>-23071.29</v>
      </c>
      <c r="E10" s="5" t="s">
        <v>209</v>
      </c>
      <c r="F10" s="5" t="s">
        <v>214</v>
      </c>
    </row>
    <row r="11" customFormat="false" ht="15" hidden="false" customHeight="false" outlineLevel="0" collapsed="false">
      <c r="A11" s="5" t="s">
        <v>58</v>
      </c>
      <c r="B11" s="18" t="n">
        <v>300</v>
      </c>
      <c r="C11" s="13" t="n">
        <v>43733663.35</v>
      </c>
      <c r="D11" s="13" t="n">
        <v>0</v>
      </c>
      <c r="E11" s="5" t="s">
        <v>209</v>
      </c>
      <c r="F11" s="5" t="s">
        <v>215</v>
      </c>
    </row>
    <row r="12" customFormat="false" ht="15" hidden="false" customHeight="false" outlineLevel="0" collapsed="false">
      <c r="A12" s="5" t="s">
        <v>60</v>
      </c>
      <c r="B12" s="18" t="n">
        <v>90</v>
      </c>
      <c r="C12" s="13" t="n">
        <v>64325617.68</v>
      </c>
      <c r="D12" s="13" t="n">
        <v>62082392.44</v>
      </c>
      <c r="E12" s="5" t="s">
        <v>209</v>
      </c>
      <c r="F12" s="5" t="s">
        <v>216</v>
      </c>
    </row>
    <row r="13" customFormat="false" ht="15" hidden="false" customHeight="false" outlineLevel="0" collapsed="false">
      <c r="A13" s="9" t="s">
        <v>217</v>
      </c>
      <c r="B13" s="17" t="n">
        <f aca="false">SUM(B5:B12)</f>
        <v>1040</v>
      </c>
      <c r="C13" s="12" t="n">
        <f aca="false">SUM(C5:C12)</f>
        <v>173812002</v>
      </c>
    </row>
    <row r="14" customFormat="false" ht="15" hidden="false" customHeight="false" outlineLevel="0" collapsed="false">
      <c r="A14" s="5" t="s">
        <v>218</v>
      </c>
      <c r="C14" s="13" t="n">
        <v>65752720.97</v>
      </c>
    </row>
    <row r="15" customFormat="false" ht="15" hidden="false" customHeight="false" outlineLevel="0" collapsed="false">
      <c r="A15" s="5" t="s">
        <v>219</v>
      </c>
      <c r="C15" s="15" t="n">
        <f aca="false">PT320_Materialidade!B19</f>
        <v>50880050</v>
      </c>
    </row>
    <row r="16" customFormat="false" ht="15" hidden="false" customHeight="false" outlineLevel="0" collapsed="false">
      <c r="A16" s="5" t="s">
        <v>220</v>
      </c>
      <c r="C16" s="20" t="n">
        <f aca="false">C14/C15</f>
        <v>1.29230849753489</v>
      </c>
    </row>
    <row r="17" customFormat="false" ht="15" hidden="false" customHeight="false" outlineLevel="0" collapsed="false">
      <c r="A17" s="5" t="s">
        <v>221</v>
      </c>
      <c r="C17" s="5" t="str">
        <f aca="false">IF(C16&gt;1,"Distorções não corrigidas EXCEDEM a materialidade: opinião modificada, se persistissem","Abaixo da materialidade")</f>
        <v>Distorções não corrigidas EXCEDEM a materialidade: opinião modificada, se persistissem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70"/>
  </cols>
  <sheetData>
    <row r="1" customFormat="false" ht="15" hidden="false" customHeight="false" outlineLevel="0" collapsed="false">
      <c r="A1" s="2" t="s">
        <v>222</v>
      </c>
    </row>
    <row r="2" customFormat="false" ht="15" hidden="false" customHeight="false" outlineLevel="0" collapsed="false">
      <c r="A2" s="3" t="s">
        <v>1</v>
      </c>
    </row>
    <row r="4" customFormat="false" ht="39.55" hidden="false" customHeight="false" outlineLevel="0" collapsed="false">
      <c r="A4" s="4" t="s">
        <v>223</v>
      </c>
      <c r="B4" s="4" t="s">
        <v>224</v>
      </c>
      <c r="C4" s="4" t="s">
        <v>225</v>
      </c>
    </row>
    <row r="5" customFormat="false" ht="15" hidden="false" customHeight="false" outlineLevel="0" collapsed="false">
      <c r="A5" s="5" t="s">
        <v>226</v>
      </c>
      <c r="B5" s="5" t="s">
        <v>227</v>
      </c>
      <c r="C5" s="5" t="s">
        <v>228</v>
      </c>
    </row>
    <row r="6" customFormat="false" ht="15" hidden="false" customHeight="false" outlineLevel="0" collapsed="false">
      <c r="A6" s="5" t="s">
        <v>229</v>
      </c>
      <c r="B6" s="5" t="s">
        <v>230</v>
      </c>
      <c r="C6" s="5" t="s">
        <v>231</v>
      </c>
    </row>
    <row r="7" customFormat="false" ht="15" hidden="false" customHeight="false" outlineLevel="0" collapsed="false">
      <c r="A7" s="5" t="s">
        <v>232</v>
      </c>
      <c r="B7" s="5" t="s">
        <v>233</v>
      </c>
      <c r="C7" s="5" t="s">
        <v>234</v>
      </c>
    </row>
    <row r="8" customFormat="false" ht="15" hidden="false" customHeight="false" outlineLevel="0" collapsed="false">
      <c r="A8" s="5" t="s">
        <v>235</v>
      </c>
      <c r="B8" s="5" t="s">
        <v>236</v>
      </c>
      <c r="C8" s="5" t="s">
        <v>237</v>
      </c>
    </row>
    <row r="9" customFormat="false" ht="15" hidden="false" customHeight="false" outlineLevel="0" collapsed="false">
      <c r="A9" s="5" t="s">
        <v>238</v>
      </c>
      <c r="B9" s="5" t="s">
        <v>239</v>
      </c>
      <c r="C9" s="5" t="s">
        <v>240</v>
      </c>
    </row>
    <row r="10" customFormat="false" ht="15" hidden="false" customHeight="false" outlineLevel="0" collapsed="false">
      <c r="A10" s="5" t="s">
        <v>241</v>
      </c>
      <c r="B10" s="5" t="s">
        <v>242</v>
      </c>
      <c r="C10" s="5" t="s">
        <v>243</v>
      </c>
    </row>
    <row r="11" customFormat="false" ht="15" hidden="false" customHeight="false" outlineLevel="0" collapsed="false">
      <c r="A11" s="5" t="s">
        <v>244</v>
      </c>
      <c r="B11" s="5" t="s">
        <v>245</v>
      </c>
      <c r="C11" s="5" t="s">
        <v>246</v>
      </c>
    </row>
    <row r="12" customFormat="false" ht="15" hidden="false" customHeight="false" outlineLevel="0" collapsed="false">
      <c r="A12" s="5" t="s">
        <v>247</v>
      </c>
      <c r="B12" s="5" t="s">
        <v>248</v>
      </c>
      <c r="C12" s="5" t="s">
        <v>249</v>
      </c>
    </row>
    <row r="13" customFormat="false" ht="15" hidden="false" customHeight="false" outlineLevel="0" collapsed="false">
      <c r="A13" s="5" t="s">
        <v>250</v>
      </c>
      <c r="B13" s="5" t="s">
        <v>251</v>
      </c>
      <c r="C13" s="5" t="s">
        <v>252</v>
      </c>
    </row>
    <row r="14" customFormat="false" ht="15" hidden="false" customHeight="false" outlineLevel="0" collapsed="false">
      <c r="A14" s="5" t="s">
        <v>253</v>
      </c>
      <c r="B14" s="5" t="s">
        <v>254</v>
      </c>
      <c r="C14" s="5" t="s">
        <v>255</v>
      </c>
    </row>
    <row r="15" customFormat="false" ht="15" hidden="false" customHeight="false" outlineLevel="0" collapsed="false">
      <c r="A15" s="5" t="s">
        <v>256</v>
      </c>
      <c r="B15" s="5" t="s">
        <v>257</v>
      </c>
      <c r="C15" s="5" t="s">
        <v>258</v>
      </c>
    </row>
    <row r="16" customFormat="false" ht="15" hidden="false" customHeight="false" outlineLevel="0" collapsed="false">
      <c r="A16" s="5" t="s">
        <v>259</v>
      </c>
      <c r="B16" s="5" t="s">
        <v>260</v>
      </c>
      <c r="C16" s="5" t="s">
        <v>261</v>
      </c>
    </row>
    <row r="17" customFormat="false" ht="15" hidden="false" customHeight="false" outlineLevel="0" collapsed="false">
      <c r="A17" s="5" t="s">
        <v>262</v>
      </c>
      <c r="B17" s="5" t="s">
        <v>263</v>
      </c>
      <c r="C17" s="5" t="s">
        <v>264</v>
      </c>
    </row>
    <row r="18" customFormat="false" ht="15" hidden="false" customHeight="false" outlineLevel="0" collapsed="false">
      <c r="A18" s="5" t="s">
        <v>265</v>
      </c>
      <c r="B18" s="5" t="s">
        <v>266</v>
      </c>
      <c r="C18" s="5" t="s">
        <v>237</v>
      </c>
    </row>
    <row r="19" customFormat="false" ht="15" hidden="false" customHeight="false" outlineLevel="0" collapsed="false">
      <c r="A19" s="5" t="s">
        <v>267</v>
      </c>
      <c r="B19" s="5" t="s">
        <v>268</v>
      </c>
      <c r="C19" s="5" t="s">
        <v>269</v>
      </c>
    </row>
    <row r="20" customFormat="false" ht="15" hidden="false" customHeight="false" outlineLevel="0" collapsed="false">
      <c r="A20" s="5" t="s">
        <v>270</v>
      </c>
      <c r="B20" s="5" t="s">
        <v>271</v>
      </c>
      <c r="C20" s="5" t="s">
        <v>272</v>
      </c>
    </row>
    <row r="21" customFormat="false" ht="15" hidden="false" customHeight="false" outlineLevel="0" collapsed="false">
      <c r="A21" s="5" t="s">
        <v>273</v>
      </c>
      <c r="B21" s="5" t="s">
        <v>274</v>
      </c>
      <c r="C21" s="5" t="s">
        <v>275</v>
      </c>
    </row>
    <row r="22" customFormat="false" ht="15" hidden="false" customHeight="false" outlineLevel="0" collapsed="false">
      <c r="A22" s="5" t="s">
        <v>276</v>
      </c>
      <c r="B22" s="5" t="s">
        <v>277</v>
      </c>
      <c r="C22" s="5" t="s">
        <v>278</v>
      </c>
    </row>
    <row r="23" customFormat="false" ht="15" hidden="false" customHeight="false" outlineLevel="0" collapsed="false">
      <c r="A23" s="5" t="s">
        <v>279</v>
      </c>
      <c r="B23" s="5" t="s">
        <v>280</v>
      </c>
      <c r="C23" s="5" t="s">
        <v>281</v>
      </c>
    </row>
    <row r="24" customFormat="false" ht="15" hidden="false" customHeight="false" outlineLevel="0" collapsed="false">
      <c r="A24" s="5" t="s">
        <v>282</v>
      </c>
      <c r="B24" s="5" t="s">
        <v>283</v>
      </c>
      <c r="C24" s="5" t="s">
        <v>284</v>
      </c>
    </row>
    <row r="25" customFormat="false" ht="15" hidden="false" customHeight="false" outlineLevel="0" collapsed="false">
      <c r="A25" s="5" t="s">
        <v>285</v>
      </c>
      <c r="B25" s="5" t="s">
        <v>286</v>
      </c>
      <c r="C25" s="5" t="s">
        <v>287</v>
      </c>
    </row>
    <row r="26" customFormat="false" ht="15" hidden="false" customHeight="false" outlineLevel="0" collapsed="false">
      <c r="A26" s="5" t="s">
        <v>288</v>
      </c>
      <c r="B26" s="5" t="s">
        <v>289</v>
      </c>
      <c r="C26" s="5" t="s">
        <v>290</v>
      </c>
    </row>
    <row r="27" customFormat="false" ht="15" hidden="false" customHeight="false" outlineLevel="0" collapsed="false">
      <c r="A27" s="5" t="s">
        <v>291</v>
      </c>
      <c r="B27" s="5" t="s">
        <v>292</v>
      </c>
      <c r="C27" s="5" t="s">
        <v>293</v>
      </c>
    </row>
    <row r="28" customFormat="false" ht="15" hidden="false" customHeight="false" outlineLevel="0" collapsed="false">
      <c r="A28" s="5" t="s">
        <v>294</v>
      </c>
      <c r="B28" s="5" t="s">
        <v>295</v>
      </c>
      <c r="C28" s="5" t="s">
        <v>258</v>
      </c>
    </row>
    <row r="29" customFormat="false" ht="15" hidden="false" customHeight="false" outlineLevel="0" collapsed="false">
      <c r="A29" s="5" t="s">
        <v>296</v>
      </c>
      <c r="B29" s="5" t="s">
        <v>297</v>
      </c>
      <c r="C29" s="5" t="s">
        <v>298</v>
      </c>
    </row>
    <row r="30" customFormat="false" ht="15" hidden="false" customHeight="false" outlineLevel="0" collapsed="false">
      <c r="A30" s="5" t="s">
        <v>299</v>
      </c>
      <c r="B30" s="5" t="s">
        <v>300</v>
      </c>
      <c r="C30" s="5" t="s">
        <v>301</v>
      </c>
    </row>
    <row r="31" customFormat="false" ht="15" hidden="false" customHeight="false" outlineLevel="0" collapsed="false">
      <c r="A31" s="5" t="s">
        <v>302</v>
      </c>
      <c r="B31" s="5" t="s">
        <v>303</v>
      </c>
      <c r="C31" s="5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2026-10-21T02:48:06Z</dcterms:created>
  <dc:creator>openpyxl</dc:creator>
  <dc:description/>
  <dc:language>en-US</dc:language>
  <cp:lastModifiedBy/>
  <dcterms:modified xsi:type="dcterms:W3CDTF">2026-10-21T02:48:06Z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